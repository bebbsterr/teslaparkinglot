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osh/Downloads/"/>
    </mc:Choice>
  </mc:AlternateContent>
  <xr:revisionPtr revIDLastSave="0" documentId="8_{685A71AA-821C-FA4B-802F-771FFDC1D17A}" xr6:coauthVersionLast="47" xr6:coauthVersionMax="47" xr10:uidLastSave="{00000000-0000-0000-0000-000000000000}"/>
  <bookViews>
    <workbookView xWindow="-20" yWindow="660" windowWidth="30240" windowHeight="17740" activeTab="1" xr2:uid="{00000000-000D-0000-FFFF-FFFF00000000}"/>
  </bookViews>
  <sheets>
    <sheet name="Controls" sheetId="1" r:id="rId1"/>
    <sheet name="Country_Zones" sheetId="2" r:id="rId2"/>
    <sheet name="City_Zones" sheetId="3" r:id="rId3"/>
    <sheet name="Lane_Plan" sheetId="4" r:id="rId4"/>
    <sheet name="Destination_Hubs" sheetId="5" r:id="rId5"/>
  </sheets>
  <definedNames>
    <definedName name="_xlnm._FilterDatabase" localSheetId="2" hidden="1">City_Zones!$A$1:$M$170</definedName>
    <definedName name="_xlnm._FilterDatabase" localSheetId="1" hidden="1">Country_Zones!$A$1:$J$13</definedName>
    <definedName name="_xlnm._FilterDatabase" localSheetId="4" hidden="1">Destination_Hubs!$A$1:$B$169</definedName>
    <definedName name="_xlnm._FilterDatabase" localSheetId="3" hidden="1">Lane_Plan!$A$1:$F$264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4" i="4" l="1"/>
  <c r="D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B13" i="2"/>
  <c r="C12" i="2"/>
  <c r="C11" i="2"/>
  <c r="C10" i="2"/>
  <c r="C9" i="2"/>
  <c r="C8" i="2"/>
  <c r="C7" i="2"/>
  <c r="D7" i="2" s="1"/>
  <c r="C6" i="2"/>
  <c r="C5" i="2"/>
  <c r="C4" i="2"/>
  <c r="C3" i="2"/>
  <c r="C2" i="2"/>
  <c r="B14" i="1"/>
  <c r="B13" i="1"/>
  <c r="B7" i="1"/>
  <c r="D9" i="2" l="1"/>
  <c r="D6" i="2"/>
  <c r="F6" i="2" s="1"/>
  <c r="D5" i="2"/>
  <c r="D4" i="2"/>
  <c r="D3" i="2"/>
  <c r="E3" i="2" s="1"/>
  <c r="F3" i="2" s="1"/>
  <c r="D12" i="2"/>
  <c r="E12" i="2" s="1"/>
  <c r="F12" i="2" s="1"/>
  <c r="D8" i="2"/>
  <c r="D10" i="2"/>
  <c r="D11" i="2"/>
  <c r="E11" i="2"/>
  <c r="F11" i="2" s="1"/>
  <c r="E10" i="2"/>
  <c r="F10" i="2" s="1"/>
  <c r="E8" i="2"/>
  <c r="F8" i="2" s="1"/>
  <c r="E7" i="2"/>
  <c r="F7" i="2" s="1"/>
  <c r="E6" i="2"/>
  <c r="C13" i="2"/>
  <c r="D2" i="2"/>
  <c r="E9" i="2" l="1"/>
  <c r="F9" i="2" s="1"/>
  <c r="E5" i="2"/>
  <c r="F5" i="2"/>
  <c r="E4" i="2"/>
  <c r="F4" i="2"/>
  <c r="E2" i="2"/>
  <c r="F2" i="2"/>
  <c r="D13" i="2"/>
  <c r="B11" i="1" l="1"/>
  <c r="E13" i="2"/>
  <c r="G7" i="2"/>
  <c r="G12" i="2"/>
  <c r="G3" i="2"/>
  <c r="G8" i="2"/>
  <c r="G10" i="2"/>
  <c r="G11" i="2"/>
  <c r="G5" i="2"/>
  <c r="G6" i="2"/>
  <c r="G4" i="2"/>
  <c r="G9" i="2"/>
  <c r="G2" i="2"/>
  <c r="H2" i="2" s="1"/>
  <c r="I2" i="2" s="1"/>
  <c r="J2" i="2" l="1"/>
  <c r="E130" i="3"/>
  <c r="E131" i="3"/>
  <c r="E132" i="3"/>
  <c r="E133" i="3"/>
  <c r="E134" i="3"/>
  <c r="E135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36" i="3"/>
  <c r="E137" i="3"/>
  <c r="E154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53" i="3"/>
  <c r="E155" i="3"/>
  <c r="H7" i="2"/>
  <c r="I7" i="2" s="1"/>
  <c r="H12" i="2"/>
  <c r="I12" i="2" s="1"/>
  <c r="H3" i="2"/>
  <c r="H8" i="2"/>
  <c r="I8" i="2" s="1"/>
  <c r="H11" i="2"/>
  <c r="I11" i="2" s="1"/>
  <c r="H10" i="2"/>
  <c r="I10" i="2" s="1"/>
  <c r="H6" i="2"/>
  <c r="I6" i="2" s="1"/>
  <c r="H5" i="2"/>
  <c r="I5" i="2" s="1"/>
  <c r="H4" i="2"/>
  <c r="I4" i="2" s="1"/>
  <c r="H9" i="2"/>
  <c r="I9" i="2" s="1"/>
  <c r="G130" i="3" l="1"/>
  <c r="G131" i="3"/>
  <c r="G132" i="3"/>
  <c r="G133" i="3"/>
  <c r="G134" i="3"/>
  <c r="G135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36" i="3"/>
  <c r="G137" i="3"/>
  <c r="G154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53" i="3"/>
  <c r="G155" i="3"/>
  <c r="J7" i="2"/>
  <c r="E119" i="3"/>
  <c r="E120" i="3"/>
  <c r="E121" i="3"/>
  <c r="E122" i="3"/>
  <c r="E123" i="3"/>
  <c r="E124" i="3"/>
  <c r="E125" i="3"/>
  <c r="E126" i="3"/>
  <c r="E127" i="3"/>
  <c r="E128" i="3"/>
  <c r="E129" i="3"/>
  <c r="J12" i="2"/>
  <c r="E91" i="3"/>
  <c r="E90" i="3"/>
  <c r="E89" i="3"/>
  <c r="H13" i="2"/>
  <c r="I3" i="2"/>
  <c r="J8" i="2"/>
  <c r="E2" i="3"/>
  <c r="E3" i="3"/>
  <c r="E4" i="3"/>
  <c r="E5" i="3"/>
  <c r="E6" i="3"/>
  <c r="E7" i="3"/>
  <c r="E8" i="3"/>
  <c r="E9" i="3"/>
  <c r="J11" i="2"/>
  <c r="E23" i="3"/>
  <c r="E24" i="3"/>
  <c r="E25" i="3"/>
  <c r="E26" i="3"/>
  <c r="J10" i="2"/>
  <c r="E15" i="3"/>
  <c r="E13" i="3"/>
  <c r="E11" i="3"/>
  <c r="E14" i="3"/>
  <c r="E10" i="3"/>
  <c r="E12" i="3"/>
  <c r="J6" i="2"/>
  <c r="E92" i="3"/>
  <c r="E93" i="3"/>
  <c r="E94" i="3"/>
  <c r="E95" i="3"/>
  <c r="E96" i="3"/>
  <c r="E97" i="3"/>
  <c r="E98" i="3"/>
  <c r="E100" i="3"/>
  <c r="E101" i="3"/>
  <c r="E102" i="3"/>
  <c r="E103" i="3"/>
  <c r="E99" i="3"/>
  <c r="E104" i="3"/>
  <c r="J5" i="2"/>
  <c r="E106" i="3"/>
  <c r="E108" i="3"/>
  <c r="E110" i="3"/>
  <c r="E111" i="3"/>
  <c r="E112" i="3"/>
  <c r="E113" i="3"/>
  <c r="E114" i="3"/>
  <c r="E115" i="3"/>
  <c r="E116" i="3"/>
  <c r="E107" i="3"/>
  <c r="E109" i="3"/>
  <c r="E117" i="3"/>
  <c r="E118" i="3"/>
  <c r="E105" i="3"/>
  <c r="J4" i="2"/>
  <c r="E33" i="3"/>
  <c r="E34" i="3"/>
  <c r="E35" i="3"/>
  <c r="E36" i="3"/>
  <c r="E37" i="3"/>
  <c r="E38" i="3"/>
  <c r="E39" i="3"/>
  <c r="E40" i="3"/>
  <c r="E41" i="3"/>
  <c r="E42" i="3"/>
  <c r="E43" i="3"/>
  <c r="E44" i="3"/>
  <c r="E47" i="3"/>
  <c r="E53" i="3"/>
  <c r="E46" i="3"/>
  <c r="E49" i="3"/>
  <c r="E31" i="3"/>
  <c r="E45" i="3"/>
  <c r="E48" i="3"/>
  <c r="E52" i="3"/>
  <c r="E27" i="3"/>
  <c r="E28" i="3"/>
  <c r="E29" i="3"/>
  <c r="E51" i="3"/>
  <c r="E30" i="3"/>
  <c r="E32" i="3"/>
  <c r="E50" i="3"/>
  <c r="J9" i="2"/>
  <c r="E16" i="3"/>
  <c r="E17" i="3"/>
  <c r="E18" i="3"/>
  <c r="E19" i="3"/>
  <c r="E20" i="3"/>
  <c r="E21" i="3"/>
  <c r="E22" i="3"/>
  <c r="H130" i="3" l="1"/>
  <c r="I130" i="3"/>
  <c r="H131" i="3"/>
  <c r="I131" i="3"/>
  <c r="H132" i="3"/>
  <c r="I132" i="3"/>
  <c r="H133" i="3"/>
  <c r="I133" i="3"/>
  <c r="H134" i="3"/>
  <c r="I134" i="3"/>
  <c r="H135" i="3"/>
  <c r="I135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 s="1"/>
  <c r="H136" i="3"/>
  <c r="I136" i="3"/>
  <c r="H137" i="3"/>
  <c r="I137" i="3"/>
  <c r="H154" i="3"/>
  <c r="I154" i="3" s="1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53" i="3"/>
  <c r="I153" i="3"/>
  <c r="H155" i="3"/>
  <c r="I155" i="3"/>
  <c r="G119" i="3"/>
  <c r="G120" i="3"/>
  <c r="G121" i="3"/>
  <c r="G122" i="3"/>
  <c r="G123" i="3"/>
  <c r="G124" i="3"/>
  <c r="G125" i="3"/>
  <c r="G126" i="3"/>
  <c r="G127" i="3"/>
  <c r="G128" i="3"/>
  <c r="G129" i="3"/>
  <c r="G91" i="3"/>
  <c r="G90" i="3"/>
  <c r="G89" i="3"/>
  <c r="I13" i="2"/>
  <c r="J3" i="2"/>
  <c r="J13" i="2" s="1"/>
  <c r="E54" i="3"/>
  <c r="E55" i="3"/>
  <c r="E56" i="3"/>
  <c r="E57" i="3"/>
  <c r="E58" i="3"/>
  <c r="E59" i="3"/>
  <c r="E60" i="3"/>
  <c r="E61" i="3"/>
  <c r="E62" i="3"/>
  <c r="E73" i="3"/>
  <c r="E74" i="3"/>
  <c r="E75" i="3"/>
  <c r="E76" i="3"/>
  <c r="E77" i="3"/>
  <c r="E78" i="3"/>
  <c r="E79" i="3"/>
  <c r="E80" i="3"/>
  <c r="E66" i="3"/>
  <c r="E67" i="3"/>
  <c r="E68" i="3"/>
  <c r="E69" i="3"/>
  <c r="E87" i="3"/>
  <c r="E83" i="3"/>
  <c r="E84" i="3"/>
  <c r="E86" i="3"/>
  <c r="E88" i="3"/>
  <c r="E63" i="3"/>
  <c r="E70" i="3"/>
  <c r="E72" i="3"/>
  <c r="E85" i="3"/>
  <c r="E71" i="3"/>
  <c r="E82" i="3"/>
  <c r="E65" i="3"/>
  <c r="E81" i="3"/>
  <c r="E64" i="3"/>
  <c r="G2" i="3"/>
  <c r="G3" i="3"/>
  <c r="G4" i="3"/>
  <c r="G5" i="3"/>
  <c r="G6" i="3"/>
  <c r="G7" i="3"/>
  <c r="G8" i="3"/>
  <c r="G9" i="3"/>
  <c r="G23" i="3"/>
  <c r="G24" i="3"/>
  <c r="G25" i="3"/>
  <c r="G26" i="3"/>
  <c r="G15" i="3"/>
  <c r="G13" i="3"/>
  <c r="G11" i="3"/>
  <c r="G14" i="3"/>
  <c r="G10" i="3"/>
  <c r="G12" i="3"/>
  <c r="G92" i="3"/>
  <c r="G93" i="3"/>
  <c r="G94" i="3"/>
  <c r="G95" i="3"/>
  <c r="G96" i="3"/>
  <c r="G97" i="3"/>
  <c r="G98" i="3"/>
  <c r="G100" i="3"/>
  <c r="G101" i="3"/>
  <c r="G102" i="3"/>
  <c r="G103" i="3"/>
  <c r="G99" i="3"/>
  <c r="G104" i="3"/>
  <c r="G106" i="3"/>
  <c r="G108" i="3"/>
  <c r="G110" i="3"/>
  <c r="G111" i="3"/>
  <c r="G112" i="3"/>
  <c r="G113" i="3"/>
  <c r="G114" i="3"/>
  <c r="G115" i="3"/>
  <c r="G116" i="3"/>
  <c r="G107" i="3"/>
  <c r="G109" i="3"/>
  <c r="G117" i="3"/>
  <c r="G118" i="3"/>
  <c r="G105" i="3"/>
  <c r="G33" i="3"/>
  <c r="G34" i="3"/>
  <c r="G35" i="3"/>
  <c r="G36" i="3"/>
  <c r="G37" i="3"/>
  <c r="G38" i="3"/>
  <c r="G39" i="3"/>
  <c r="G40" i="3"/>
  <c r="G41" i="3"/>
  <c r="G42" i="3"/>
  <c r="G43" i="3"/>
  <c r="G44" i="3"/>
  <c r="G47" i="3"/>
  <c r="G53" i="3"/>
  <c r="G46" i="3"/>
  <c r="G49" i="3"/>
  <c r="G31" i="3"/>
  <c r="G45" i="3"/>
  <c r="G48" i="3"/>
  <c r="G52" i="3"/>
  <c r="G27" i="3"/>
  <c r="G28" i="3"/>
  <c r="G29" i="3"/>
  <c r="G51" i="3"/>
  <c r="G30" i="3"/>
  <c r="G32" i="3"/>
  <c r="G50" i="3"/>
  <c r="G16" i="3"/>
  <c r="G17" i="3"/>
  <c r="G18" i="3"/>
  <c r="G19" i="3"/>
  <c r="G20" i="3"/>
  <c r="G21" i="3"/>
  <c r="G22" i="3"/>
  <c r="K164" i="3" l="1"/>
  <c r="K160" i="3"/>
  <c r="K156" i="3"/>
  <c r="K152" i="3"/>
  <c r="K148" i="3"/>
  <c r="K144" i="3"/>
  <c r="K142" i="3"/>
  <c r="K140" i="3"/>
  <c r="K138" i="3"/>
  <c r="K165" i="3"/>
  <c r="K154" i="3"/>
  <c r="K145" i="3"/>
  <c r="K163" i="3"/>
  <c r="K159" i="3"/>
  <c r="K137" i="3"/>
  <c r="K147" i="3"/>
  <c r="K166" i="3"/>
  <c r="K162" i="3"/>
  <c r="K157" i="3"/>
  <c r="K136" i="3"/>
  <c r="K150" i="3"/>
  <c r="K155" i="3"/>
  <c r="K153" i="3"/>
  <c r="K169" i="3"/>
  <c r="K168" i="3"/>
  <c r="K167" i="3"/>
  <c r="K161" i="3"/>
  <c r="K158" i="3"/>
  <c r="K151" i="3"/>
  <c r="K149" i="3"/>
  <c r="K146" i="3"/>
  <c r="K143" i="3"/>
  <c r="K141" i="3"/>
  <c r="K139" i="3"/>
  <c r="K135" i="3"/>
  <c r="K134" i="3"/>
  <c r="K133" i="3"/>
  <c r="K132" i="3"/>
  <c r="K131" i="3"/>
  <c r="K130" i="3"/>
  <c r="L130" i="3"/>
  <c r="M130" i="3" s="1"/>
  <c r="H119" i="3"/>
  <c r="I119" i="3"/>
  <c r="H120" i="3"/>
  <c r="I120" i="3"/>
  <c r="H121" i="3"/>
  <c r="I121" i="3"/>
  <c r="H122" i="3"/>
  <c r="I122" i="3"/>
  <c r="H123" i="3"/>
  <c r="I123" i="3"/>
  <c r="H124" i="3"/>
  <c r="I124" i="3" s="1"/>
  <c r="H125" i="3"/>
  <c r="I125" i="3"/>
  <c r="H126" i="3"/>
  <c r="I126" i="3" s="1"/>
  <c r="H127" i="3"/>
  <c r="I127" i="3"/>
  <c r="H128" i="3"/>
  <c r="I128" i="3"/>
  <c r="H129" i="3"/>
  <c r="I129" i="3" s="1"/>
  <c r="H91" i="3"/>
  <c r="I91" i="3"/>
  <c r="H90" i="3"/>
  <c r="I90" i="3" s="1"/>
  <c r="J89" i="3" s="1"/>
  <c r="H89" i="3"/>
  <c r="I89" i="3" s="1"/>
  <c r="G54" i="3"/>
  <c r="G170" i="3" s="1"/>
  <c r="G55" i="3"/>
  <c r="G56" i="3"/>
  <c r="G57" i="3"/>
  <c r="G58" i="3"/>
  <c r="G59" i="3"/>
  <c r="G60" i="3"/>
  <c r="G61" i="3"/>
  <c r="G62" i="3"/>
  <c r="G73" i="3"/>
  <c r="G74" i="3"/>
  <c r="G75" i="3"/>
  <c r="G76" i="3"/>
  <c r="G77" i="3"/>
  <c r="G78" i="3"/>
  <c r="G79" i="3"/>
  <c r="G80" i="3"/>
  <c r="G66" i="3"/>
  <c r="G67" i="3"/>
  <c r="G68" i="3"/>
  <c r="G69" i="3"/>
  <c r="G87" i="3"/>
  <c r="G83" i="3"/>
  <c r="G84" i="3"/>
  <c r="G86" i="3"/>
  <c r="G88" i="3"/>
  <c r="G63" i="3"/>
  <c r="G70" i="3"/>
  <c r="G72" i="3"/>
  <c r="G85" i="3"/>
  <c r="G71" i="3"/>
  <c r="G82" i="3"/>
  <c r="G65" i="3"/>
  <c r="G81" i="3"/>
  <c r="G64" i="3"/>
  <c r="H2" i="3"/>
  <c r="I2" i="3" s="1"/>
  <c r="H3" i="3"/>
  <c r="I3" i="3"/>
  <c r="H4" i="3"/>
  <c r="I4" i="3" s="1"/>
  <c r="J7" i="3" s="1"/>
  <c r="H5" i="3"/>
  <c r="I5" i="3"/>
  <c r="H6" i="3"/>
  <c r="I6" i="3"/>
  <c r="H7" i="3"/>
  <c r="I7" i="3" s="1"/>
  <c r="H8" i="3"/>
  <c r="I8" i="3"/>
  <c r="H9" i="3"/>
  <c r="I9" i="3"/>
  <c r="H23" i="3"/>
  <c r="I23" i="3"/>
  <c r="H24" i="3"/>
  <c r="I24" i="3"/>
  <c r="H25" i="3"/>
  <c r="I25" i="3"/>
  <c r="J25" i="3" s="1"/>
  <c r="H26" i="3"/>
  <c r="I26" i="3"/>
  <c r="J26" i="3" s="1"/>
  <c r="H15" i="3"/>
  <c r="I15" i="3"/>
  <c r="H13" i="3"/>
  <c r="I13" i="3"/>
  <c r="H11" i="3"/>
  <c r="I11" i="3" s="1"/>
  <c r="H14" i="3"/>
  <c r="I14" i="3"/>
  <c r="H10" i="3"/>
  <c r="I10" i="3"/>
  <c r="H12" i="3"/>
  <c r="I12" i="3" s="1"/>
  <c r="J12" i="3" s="1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100" i="3"/>
  <c r="I100" i="3"/>
  <c r="H101" i="3"/>
  <c r="I101" i="3" s="1"/>
  <c r="H102" i="3"/>
  <c r="I102" i="3"/>
  <c r="H103" i="3"/>
  <c r="I103" i="3"/>
  <c r="H99" i="3"/>
  <c r="I99" i="3" s="1"/>
  <c r="H104" i="3"/>
  <c r="I104" i="3" s="1"/>
  <c r="J104" i="3" s="1"/>
  <c r="H106" i="3"/>
  <c r="I106" i="3" s="1"/>
  <c r="H108" i="3"/>
  <c r="I108" i="3"/>
  <c r="H110" i="3"/>
  <c r="I110" i="3" s="1"/>
  <c r="H111" i="3"/>
  <c r="I111" i="3"/>
  <c r="H112" i="3"/>
  <c r="I112" i="3"/>
  <c r="H113" i="3"/>
  <c r="I113" i="3"/>
  <c r="H114" i="3"/>
  <c r="I114" i="3"/>
  <c r="H115" i="3"/>
  <c r="I115" i="3"/>
  <c r="H116" i="3"/>
  <c r="I116" i="3"/>
  <c r="H107" i="3"/>
  <c r="I107" i="3" s="1"/>
  <c r="H109" i="3"/>
  <c r="I109" i="3" s="1"/>
  <c r="H117" i="3"/>
  <c r="I117" i="3" s="1"/>
  <c r="H118" i="3"/>
  <c r="I118" i="3" s="1"/>
  <c r="J118" i="3" s="1"/>
  <c r="H105" i="3"/>
  <c r="I105" i="3" s="1"/>
  <c r="J105" i="3" s="1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 s="1"/>
  <c r="H43" i="3"/>
  <c r="I43" i="3"/>
  <c r="H44" i="3"/>
  <c r="I44" i="3"/>
  <c r="H47" i="3"/>
  <c r="I47" i="3"/>
  <c r="H53" i="3"/>
  <c r="I53" i="3"/>
  <c r="H46" i="3"/>
  <c r="I46" i="3"/>
  <c r="H49" i="3"/>
  <c r="I49" i="3" s="1"/>
  <c r="H31" i="3"/>
  <c r="I31" i="3" s="1"/>
  <c r="H45" i="3"/>
  <c r="I45" i="3" s="1"/>
  <c r="H48" i="3"/>
  <c r="I48" i="3"/>
  <c r="H52" i="3"/>
  <c r="I52" i="3"/>
  <c r="H27" i="3"/>
  <c r="I27" i="3"/>
  <c r="H28" i="3"/>
  <c r="I28" i="3" s="1"/>
  <c r="J50" i="3" s="1"/>
  <c r="H29" i="3"/>
  <c r="I29" i="3" s="1"/>
  <c r="H51" i="3"/>
  <c r="I51" i="3" s="1"/>
  <c r="H30" i="3"/>
  <c r="I30" i="3" s="1"/>
  <c r="H32" i="3"/>
  <c r="I32" i="3"/>
  <c r="H50" i="3"/>
  <c r="I50" i="3" s="1"/>
  <c r="H16" i="3"/>
  <c r="I16" i="3"/>
  <c r="H17" i="3"/>
  <c r="I17" i="3"/>
  <c r="H18" i="3"/>
  <c r="I18" i="3"/>
  <c r="H19" i="3"/>
  <c r="I19" i="3"/>
  <c r="H20" i="3"/>
  <c r="I20" i="3" s="1"/>
  <c r="H21" i="3"/>
  <c r="I21" i="3"/>
  <c r="H22" i="3"/>
  <c r="I22" i="3"/>
  <c r="J130" i="3"/>
  <c r="J131" i="3"/>
  <c r="J133" i="3"/>
  <c r="J140" i="3"/>
  <c r="J145" i="3"/>
  <c r="J150" i="3"/>
  <c r="J160" i="3"/>
  <c r="L160" i="3" s="1"/>
  <c r="M160" i="3" s="1"/>
  <c r="J166" i="3"/>
  <c r="J167" i="3"/>
  <c r="J168" i="3"/>
  <c r="J169" i="3"/>
  <c r="J153" i="3"/>
  <c r="J155" i="3"/>
  <c r="J134" i="3"/>
  <c r="J138" i="3"/>
  <c r="J141" i="3"/>
  <c r="J143" i="3"/>
  <c r="J146" i="3"/>
  <c r="J148" i="3"/>
  <c r="J151" i="3"/>
  <c r="J132" i="3"/>
  <c r="J135" i="3"/>
  <c r="J139" i="3"/>
  <c r="J142" i="3"/>
  <c r="L142" i="3" s="1"/>
  <c r="M142" i="3" s="1"/>
  <c r="J144" i="3"/>
  <c r="L144" i="3" s="1"/>
  <c r="M144" i="3" s="1"/>
  <c r="J147" i="3"/>
  <c r="J149" i="3"/>
  <c r="J152" i="3"/>
  <c r="L152" i="3" s="1"/>
  <c r="M152" i="3" s="1"/>
  <c r="J164" i="3"/>
  <c r="L164" i="3" s="1"/>
  <c r="M164" i="3" s="1"/>
  <c r="J159" i="3"/>
  <c r="J137" i="3"/>
  <c r="J165" i="3"/>
  <c r="J161" i="3"/>
  <c r="J158" i="3"/>
  <c r="J136" i="3"/>
  <c r="J163" i="3"/>
  <c r="L163" i="3" s="1"/>
  <c r="M163" i="3" s="1"/>
  <c r="J157" i="3"/>
  <c r="J162" i="3"/>
  <c r="J156" i="3"/>
  <c r="L156" i="3" s="1"/>
  <c r="M156" i="3" s="1"/>
  <c r="J154" i="3"/>
  <c r="L154" i="3" s="1"/>
  <c r="M154" i="3" s="1"/>
  <c r="J124" i="3" l="1"/>
  <c r="J117" i="3"/>
  <c r="L145" i="3"/>
  <c r="M145" i="3" s="1"/>
  <c r="L166" i="3"/>
  <c r="M166" i="3" s="1"/>
  <c r="J101" i="3"/>
  <c r="L140" i="3"/>
  <c r="M140" i="3" s="1"/>
  <c r="L150" i="3"/>
  <c r="M150" i="3" s="1"/>
  <c r="L168" i="3"/>
  <c r="M168" i="3" s="1"/>
  <c r="L147" i="3"/>
  <c r="M147" i="3" s="1"/>
  <c r="L136" i="3"/>
  <c r="M136" i="3" s="1"/>
  <c r="L167" i="3"/>
  <c r="M167" i="3" s="1"/>
  <c r="L157" i="3"/>
  <c r="M157" i="3" s="1"/>
  <c r="L169" i="3"/>
  <c r="M169" i="3" s="1"/>
  <c r="L153" i="3"/>
  <c r="M153" i="3" s="1"/>
  <c r="L155" i="3"/>
  <c r="M155" i="3" s="1"/>
  <c r="L138" i="3"/>
  <c r="M138" i="3" s="1"/>
  <c r="L141" i="3"/>
  <c r="M141" i="3" s="1"/>
  <c r="L143" i="3"/>
  <c r="M143" i="3" s="1"/>
  <c r="L146" i="3"/>
  <c r="M146" i="3" s="1"/>
  <c r="L162" i="3"/>
  <c r="M162" i="3" s="1"/>
  <c r="L159" i="3"/>
  <c r="M159" i="3" s="1"/>
  <c r="L137" i="3"/>
  <c r="M137" i="3" s="1"/>
  <c r="L165" i="3"/>
  <c r="M165" i="3" s="1"/>
  <c r="L161" i="3"/>
  <c r="M161" i="3" s="1"/>
  <c r="L158" i="3"/>
  <c r="M158" i="3" s="1"/>
  <c r="J21" i="3"/>
  <c r="J22" i="3"/>
  <c r="K129" i="3"/>
  <c r="K128" i="3"/>
  <c r="K127" i="3"/>
  <c r="K126" i="3"/>
  <c r="K125" i="3"/>
  <c r="K124" i="3"/>
  <c r="L124" i="3" s="1"/>
  <c r="M124" i="3" s="1"/>
  <c r="K123" i="3"/>
  <c r="K122" i="3"/>
  <c r="K121" i="3"/>
  <c r="K120" i="3"/>
  <c r="K119" i="3"/>
  <c r="L119" i="3" s="1"/>
  <c r="M119" i="3" s="1"/>
  <c r="K89" i="3"/>
  <c r="L89" i="3" s="1"/>
  <c r="M89" i="3" s="1"/>
  <c r="K90" i="3"/>
  <c r="K91" i="3"/>
  <c r="H54" i="3"/>
  <c r="H55" i="3"/>
  <c r="I55" i="3" s="1"/>
  <c r="H56" i="3"/>
  <c r="I56" i="3" s="1"/>
  <c r="H57" i="3"/>
  <c r="I57" i="3"/>
  <c r="H58" i="3"/>
  <c r="I58" i="3"/>
  <c r="H59" i="3"/>
  <c r="I59" i="3" s="1"/>
  <c r="H60" i="3"/>
  <c r="I60" i="3"/>
  <c r="H61" i="3"/>
  <c r="I61" i="3" s="1"/>
  <c r="H62" i="3"/>
  <c r="I62" i="3" s="1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66" i="3"/>
  <c r="I66" i="3" s="1"/>
  <c r="H67" i="3"/>
  <c r="I67" i="3" s="1"/>
  <c r="H68" i="3"/>
  <c r="I68" i="3"/>
  <c r="H69" i="3"/>
  <c r="I69" i="3"/>
  <c r="H87" i="3"/>
  <c r="I87" i="3"/>
  <c r="H83" i="3"/>
  <c r="I83" i="3" s="1"/>
  <c r="H84" i="3"/>
  <c r="I84" i="3"/>
  <c r="H86" i="3"/>
  <c r="I86" i="3" s="1"/>
  <c r="H88" i="3"/>
  <c r="I88" i="3" s="1"/>
  <c r="H63" i="3"/>
  <c r="I63" i="3"/>
  <c r="H70" i="3"/>
  <c r="I70" i="3" s="1"/>
  <c r="H72" i="3"/>
  <c r="I72" i="3"/>
  <c r="H85" i="3"/>
  <c r="I85" i="3"/>
  <c r="H71" i="3"/>
  <c r="I71" i="3" s="1"/>
  <c r="H82" i="3"/>
  <c r="I82" i="3"/>
  <c r="H65" i="3"/>
  <c r="I65" i="3" s="1"/>
  <c r="H81" i="3"/>
  <c r="I81" i="3" s="1"/>
  <c r="H64" i="3"/>
  <c r="I64" i="3" s="1"/>
  <c r="K9" i="3"/>
  <c r="K8" i="3"/>
  <c r="K7" i="3"/>
  <c r="K6" i="3"/>
  <c r="K5" i="3"/>
  <c r="K4" i="3"/>
  <c r="K3" i="3"/>
  <c r="K2" i="3"/>
  <c r="K26" i="3"/>
  <c r="K24" i="3"/>
  <c r="K23" i="3"/>
  <c r="K25" i="3"/>
  <c r="K10" i="3"/>
  <c r="K11" i="3"/>
  <c r="K13" i="3"/>
  <c r="K12" i="3"/>
  <c r="L12" i="3" s="1"/>
  <c r="M12" i="3" s="1"/>
  <c r="K14" i="3"/>
  <c r="K15" i="3"/>
  <c r="K104" i="3"/>
  <c r="L104" i="3" s="1"/>
  <c r="M104" i="3" s="1"/>
  <c r="K103" i="3"/>
  <c r="K101" i="3"/>
  <c r="K98" i="3"/>
  <c r="K96" i="3"/>
  <c r="K94" i="3"/>
  <c r="K92" i="3"/>
  <c r="K99" i="3"/>
  <c r="K102" i="3"/>
  <c r="K100" i="3"/>
  <c r="K97" i="3"/>
  <c r="K95" i="3"/>
  <c r="K93" i="3"/>
  <c r="K105" i="3"/>
  <c r="K118" i="3"/>
  <c r="K117" i="3"/>
  <c r="K109" i="3"/>
  <c r="K107" i="3"/>
  <c r="K116" i="3"/>
  <c r="K115" i="3"/>
  <c r="K114" i="3"/>
  <c r="K113" i="3"/>
  <c r="K111" i="3"/>
  <c r="K108" i="3"/>
  <c r="K112" i="3"/>
  <c r="K110" i="3"/>
  <c r="K106" i="3"/>
  <c r="L105" i="3"/>
  <c r="M105" i="3" s="1"/>
  <c r="K50" i="3"/>
  <c r="L50" i="3" s="1"/>
  <c r="M50" i="3" s="1"/>
  <c r="K32" i="3"/>
  <c r="K30" i="3"/>
  <c r="K51" i="3"/>
  <c r="K29" i="3"/>
  <c r="K28" i="3"/>
  <c r="K27" i="3"/>
  <c r="K52" i="3"/>
  <c r="K48" i="3"/>
  <c r="K45" i="3"/>
  <c r="K31" i="3"/>
  <c r="K49" i="3"/>
  <c r="K46" i="3"/>
  <c r="K53" i="3"/>
  <c r="K47" i="3"/>
  <c r="K44" i="3"/>
  <c r="K43" i="3"/>
  <c r="K42" i="3"/>
  <c r="K41" i="3"/>
  <c r="K40" i="3"/>
  <c r="K39" i="3"/>
  <c r="K38" i="3"/>
  <c r="K37" i="3"/>
  <c r="K36" i="3"/>
  <c r="K35" i="3"/>
  <c r="K34" i="3"/>
  <c r="K33" i="3"/>
  <c r="K22" i="3"/>
  <c r="K21" i="3"/>
  <c r="K20" i="3"/>
  <c r="K19" i="3"/>
  <c r="K18" i="3"/>
  <c r="K17" i="3"/>
  <c r="K16" i="3"/>
  <c r="J119" i="3"/>
  <c r="J120" i="3"/>
  <c r="J121" i="3"/>
  <c r="J122" i="3"/>
  <c r="J123" i="3"/>
  <c r="J15" i="3"/>
  <c r="L15" i="3" s="1"/>
  <c r="M15" i="3" s="1"/>
  <c r="J13" i="3"/>
  <c r="L13" i="3" s="1"/>
  <c r="M13" i="3" s="1"/>
  <c r="J14" i="3"/>
  <c r="L14" i="3" s="1"/>
  <c r="M14" i="3" s="1"/>
  <c r="J92" i="3"/>
  <c r="L92" i="3" s="1"/>
  <c r="M92" i="3" s="1"/>
  <c r="J125" i="3"/>
  <c r="J126" i="3"/>
  <c r="J127" i="3"/>
  <c r="J128" i="3"/>
  <c r="J129" i="3"/>
  <c r="J91" i="3"/>
  <c r="J90" i="3"/>
  <c r="L7" i="3"/>
  <c r="M7" i="3" s="1"/>
  <c r="J23" i="3"/>
  <c r="L23" i="3" s="1"/>
  <c r="M23" i="3" s="1"/>
  <c r="L25" i="3"/>
  <c r="M25" i="3" s="1"/>
  <c r="J24" i="3"/>
  <c r="L24" i="3" s="1"/>
  <c r="M24" i="3" s="1"/>
  <c r="L26" i="3"/>
  <c r="M26" i="3" s="1"/>
  <c r="J94" i="3"/>
  <c r="L94" i="3" s="1"/>
  <c r="M94" i="3" s="1"/>
  <c r="J95" i="3"/>
  <c r="L95" i="3" s="1"/>
  <c r="M95" i="3" s="1"/>
  <c r="J96" i="3"/>
  <c r="L96" i="3" s="1"/>
  <c r="M96" i="3" s="1"/>
  <c r="J97" i="3"/>
  <c r="L97" i="3" s="1"/>
  <c r="M97" i="3" s="1"/>
  <c r="J98" i="3"/>
  <c r="L98" i="3" s="1"/>
  <c r="M98" i="3" s="1"/>
  <c r="J100" i="3"/>
  <c r="L100" i="3" s="1"/>
  <c r="M100" i="3" s="1"/>
  <c r="J102" i="3"/>
  <c r="L102" i="3" s="1"/>
  <c r="M102" i="3" s="1"/>
  <c r="J103" i="3"/>
  <c r="L103" i="3" s="1"/>
  <c r="M103" i="3" s="1"/>
  <c r="J108" i="3"/>
  <c r="L108" i="3" s="1"/>
  <c r="M108" i="3" s="1"/>
  <c r="L118" i="3"/>
  <c r="M118" i="3" s="1"/>
  <c r="J34" i="3"/>
  <c r="L34" i="3" s="1"/>
  <c r="M34" i="3" s="1"/>
  <c r="J36" i="3"/>
  <c r="L36" i="3" s="1"/>
  <c r="M36" i="3" s="1"/>
  <c r="J37" i="3"/>
  <c r="J39" i="3"/>
  <c r="J41" i="3"/>
  <c r="J43" i="3"/>
  <c r="J47" i="3"/>
  <c r="J46" i="3"/>
  <c r="J31" i="3"/>
  <c r="J52" i="3"/>
  <c r="J28" i="3"/>
  <c r="J30" i="3"/>
  <c r="J16" i="3"/>
  <c r="J18" i="3"/>
  <c r="J20" i="3"/>
  <c r="L131" i="3"/>
  <c r="M131" i="3" s="1"/>
  <c r="L134" i="3"/>
  <c r="M134" i="3" s="1"/>
  <c r="J111" i="3"/>
  <c r="L111" i="3" s="1"/>
  <c r="M111" i="3" s="1"/>
  <c r="J112" i="3"/>
  <c r="L112" i="3" s="1"/>
  <c r="M112" i="3" s="1"/>
  <c r="J113" i="3"/>
  <c r="L113" i="3" s="1"/>
  <c r="M113" i="3" s="1"/>
  <c r="J114" i="3"/>
  <c r="J115" i="3"/>
  <c r="J116" i="3"/>
  <c r="J33" i="3"/>
  <c r="J35" i="3"/>
  <c r="J38" i="3"/>
  <c r="J40" i="3"/>
  <c r="J42" i="3"/>
  <c r="J44" i="3"/>
  <c r="J53" i="3"/>
  <c r="J49" i="3"/>
  <c r="J48" i="3"/>
  <c r="J27" i="3"/>
  <c r="L27" i="3" s="1"/>
  <c r="M27" i="3" s="1"/>
  <c r="J17" i="3"/>
  <c r="J19" i="3"/>
  <c r="L133" i="3"/>
  <c r="M133" i="3" s="1"/>
  <c r="L148" i="3"/>
  <c r="M148" i="3" s="1"/>
  <c r="L151" i="3"/>
  <c r="M151" i="3" s="1"/>
  <c r="L132" i="3"/>
  <c r="M132" i="3" s="1"/>
  <c r="L135" i="3"/>
  <c r="M135" i="3" s="1"/>
  <c r="L139" i="3"/>
  <c r="M139" i="3" s="1"/>
  <c r="L149" i="3"/>
  <c r="M149" i="3" s="1"/>
  <c r="J9" i="3"/>
  <c r="J5" i="3"/>
  <c r="L5" i="3" s="1"/>
  <c r="M5" i="3" s="1"/>
  <c r="J3" i="3"/>
  <c r="L3" i="3" s="1"/>
  <c r="M3" i="3" s="1"/>
  <c r="J8" i="3"/>
  <c r="L8" i="3" s="1"/>
  <c r="M8" i="3" s="1"/>
  <c r="J6" i="3"/>
  <c r="L6" i="3" s="1"/>
  <c r="M6" i="3" s="1"/>
  <c r="J4" i="3"/>
  <c r="L4" i="3" s="1"/>
  <c r="M4" i="3" s="1"/>
  <c r="J2" i="3"/>
  <c r="L2" i="3" s="1"/>
  <c r="J10" i="3"/>
  <c r="L10" i="3" s="1"/>
  <c r="M10" i="3" s="1"/>
  <c r="J11" i="3"/>
  <c r="L11" i="3" s="1"/>
  <c r="M11" i="3" s="1"/>
  <c r="J93" i="3"/>
  <c r="L93" i="3" s="1"/>
  <c r="M93" i="3" s="1"/>
  <c r="J99" i="3"/>
  <c r="L99" i="3" s="1"/>
  <c r="M99" i="3" s="1"/>
  <c r="J32" i="3"/>
  <c r="L32" i="3" s="1"/>
  <c r="M32" i="3" s="1"/>
  <c r="J51" i="3"/>
  <c r="L51" i="3" s="1"/>
  <c r="M51" i="3" s="1"/>
  <c r="J29" i="3"/>
  <c r="L29" i="3" s="1"/>
  <c r="M29" i="3" s="1"/>
  <c r="J106" i="3"/>
  <c r="L106" i="3" s="1"/>
  <c r="M106" i="3" s="1"/>
  <c r="J109" i="3"/>
  <c r="L109" i="3" s="1"/>
  <c r="M109" i="3" s="1"/>
  <c r="J110" i="3"/>
  <c r="L110" i="3" s="1"/>
  <c r="M110" i="3" s="1"/>
  <c r="J107" i="3"/>
  <c r="L107" i="3" s="1"/>
  <c r="M107" i="3" s="1"/>
  <c r="J45" i="3"/>
  <c r="L45" i="3" s="1"/>
  <c r="M45" i="3" s="1"/>
  <c r="L101" i="3" l="1"/>
  <c r="M101" i="3" s="1"/>
  <c r="L117" i="3"/>
  <c r="M117" i="3" s="1"/>
  <c r="L22" i="3"/>
  <c r="M22" i="3" s="1"/>
  <c r="L21" i="3"/>
  <c r="M21" i="3" s="1"/>
  <c r="L16" i="3"/>
  <c r="M16" i="3" s="1"/>
  <c r="L125" i="3"/>
  <c r="M125" i="3" s="1"/>
  <c r="L126" i="3"/>
  <c r="M126" i="3" s="1"/>
  <c r="L127" i="3"/>
  <c r="M127" i="3" s="1"/>
  <c r="L128" i="3"/>
  <c r="M128" i="3" s="1"/>
  <c r="L129" i="3"/>
  <c r="M129" i="3" s="1"/>
  <c r="L114" i="3"/>
  <c r="M114" i="3" s="1"/>
  <c r="K81" i="3"/>
  <c r="K82" i="3"/>
  <c r="K85" i="3"/>
  <c r="K70" i="3"/>
  <c r="K88" i="3"/>
  <c r="K84" i="3"/>
  <c r="K69" i="3"/>
  <c r="K64" i="3"/>
  <c r="K65" i="3"/>
  <c r="K71" i="3"/>
  <c r="K72" i="3"/>
  <c r="K63" i="3"/>
  <c r="K86" i="3"/>
  <c r="K83" i="3"/>
  <c r="K87" i="3"/>
  <c r="K68" i="3"/>
  <c r="K67" i="3"/>
  <c r="K66" i="3"/>
  <c r="K80" i="3"/>
  <c r="K79" i="3"/>
  <c r="K78" i="3"/>
  <c r="K77" i="3"/>
  <c r="K76" i="3"/>
  <c r="K75" i="3"/>
  <c r="K74" i="3"/>
  <c r="K73" i="3"/>
  <c r="K62" i="3"/>
  <c r="K61" i="3"/>
  <c r="K60" i="3"/>
  <c r="K59" i="3"/>
  <c r="K58" i="3"/>
  <c r="K57" i="3"/>
  <c r="K56" i="3"/>
  <c r="K55" i="3"/>
  <c r="K54" i="3"/>
  <c r="M2" i="3"/>
  <c r="L122" i="3"/>
  <c r="M122" i="3" s="1"/>
  <c r="L123" i="3"/>
  <c r="M123" i="3" s="1"/>
  <c r="L121" i="3"/>
  <c r="M121" i="3" s="1"/>
  <c r="L120" i="3"/>
  <c r="M120" i="3" s="1"/>
  <c r="L91" i="3"/>
  <c r="M91" i="3" s="1"/>
  <c r="L90" i="3"/>
  <c r="M90" i="3" s="1"/>
  <c r="L37" i="3"/>
  <c r="M37" i="3" s="1"/>
  <c r="L39" i="3"/>
  <c r="M39" i="3" s="1"/>
  <c r="L41" i="3"/>
  <c r="M41" i="3" s="1"/>
  <c r="L43" i="3"/>
  <c r="M43" i="3" s="1"/>
  <c r="L47" i="3"/>
  <c r="M47" i="3" s="1"/>
  <c r="L46" i="3"/>
  <c r="M46" i="3" s="1"/>
  <c r="L31" i="3"/>
  <c r="M31" i="3" s="1"/>
  <c r="L52" i="3"/>
  <c r="M52" i="3" s="1"/>
  <c r="L28" i="3"/>
  <c r="M28" i="3" s="1"/>
  <c r="L30" i="3"/>
  <c r="M30" i="3" s="1"/>
  <c r="L18" i="3"/>
  <c r="M18" i="3" s="1"/>
  <c r="L20" i="3"/>
  <c r="M20" i="3" s="1"/>
  <c r="L115" i="3"/>
  <c r="M115" i="3" s="1"/>
  <c r="L116" i="3"/>
  <c r="M116" i="3" s="1"/>
  <c r="L33" i="3"/>
  <c r="M33" i="3" s="1"/>
  <c r="L35" i="3"/>
  <c r="M35" i="3" s="1"/>
  <c r="L38" i="3"/>
  <c r="M38" i="3" s="1"/>
  <c r="L40" i="3"/>
  <c r="M40" i="3" s="1"/>
  <c r="L42" i="3"/>
  <c r="M42" i="3" s="1"/>
  <c r="L44" i="3"/>
  <c r="M44" i="3" s="1"/>
  <c r="L53" i="3"/>
  <c r="M53" i="3" s="1"/>
  <c r="L49" i="3"/>
  <c r="M49" i="3" s="1"/>
  <c r="L48" i="3"/>
  <c r="M48" i="3" s="1"/>
  <c r="L17" i="3"/>
  <c r="M17" i="3" s="1"/>
  <c r="L19" i="3"/>
  <c r="M19" i="3" s="1"/>
  <c r="L9" i="3"/>
  <c r="M9" i="3" s="1"/>
  <c r="I54" i="3"/>
  <c r="H170" i="3"/>
  <c r="J85" i="3" l="1"/>
  <c r="L85" i="3" s="1"/>
  <c r="M85" i="3" s="1"/>
  <c r="J72" i="3"/>
  <c r="L72" i="3" s="1"/>
  <c r="M72" i="3" s="1"/>
  <c r="J63" i="3"/>
  <c r="L63" i="3" s="1"/>
  <c r="M63" i="3" s="1"/>
  <c r="J84" i="3"/>
  <c r="L84" i="3" s="1"/>
  <c r="M84" i="3" s="1"/>
  <c r="J87" i="3"/>
  <c r="L87" i="3" s="1"/>
  <c r="M87" i="3" s="1"/>
  <c r="J69" i="3"/>
  <c r="L69" i="3" s="1"/>
  <c r="M69" i="3" s="1"/>
  <c r="J68" i="3"/>
  <c r="L68" i="3" s="1"/>
  <c r="M68" i="3" s="1"/>
  <c r="J82" i="3"/>
  <c r="L82" i="3" s="1"/>
  <c r="M82" i="3" s="1"/>
  <c r="J80" i="3"/>
  <c r="L80" i="3" s="1"/>
  <c r="M80" i="3" s="1"/>
  <c r="J79" i="3"/>
  <c r="L79" i="3" s="1"/>
  <c r="M79" i="3" s="1"/>
  <c r="J78" i="3"/>
  <c r="L78" i="3" s="1"/>
  <c r="M78" i="3" s="1"/>
  <c r="J77" i="3"/>
  <c r="L77" i="3" s="1"/>
  <c r="M77" i="3" s="1"/>
  <c r="J76" i="3"/>
  <c r="L76" i="3" s="1"/>
  <c r="M76" i="3" s="1"/>
  <c r="J75" i="3"/>
  <c r="L75" i="3" s="1"/>
  <c r="M75" i="3" s="1"/>
  <c r="J74" i="3"/>
  <c r="L74" i="3" s="1"/>
  <c r="M74" i="3" s="1"/>
  <c r="J73" i="3"/>
  <c r="L73" i="3" s="1"/>
  <c r="M73" i="3" s="1"/>
  <c r="J62" i="3"/>
  <c r="L62" i="3" s="1"/>
  <c r="M62" i="3" s="1"/>
  <c r="J65" i="3"/>
  <c r="L65" i="3" s="1"/>
  <c r="M65" i="3" s="1"/>
  <c r="J83" i="3"/>
  <c r="L83" i="3" s="1"/>
  <c r="M83" i="3" s="1"/>
  <c r="J56" i="3"/>
  <c r="L56" i="3" s="1"/>
  <c r="M56" i="3" s="1"/>
  <c r="J81" i="3"/>
  <c r="L81" i="3" s="1"/>
  <c r="M81" i="3" s="1"/>
  <c r="J86" i="3"/>
  <c r="L86" i="3" s="1"/>
  <c r="M86" i="3" s="1"/>
  <c r="J61" i="3"/>
  <c r="L61" i="3" s="1"/>
  <c r="M61" i="3" s="1"/>
  <c r="J64" i="3"/>
  <c r="L64" i="3" s="1"/>
  <c r="M64" i="3" s="1"/>
  <c r="J70" i="3"/>
  <c r="L70" i="3" s="1"/>
  <c r="M70" i="3" s="1"/>
  <c r="J67" i="3"/>
  <c r="L67" i="3" s="1"/>
  <c r="M67" i="3" s="1"/>
  <c r="J55" i="3"/>
  <c r="L55" i="3" s="1"/>
  <c r="M55" i="3" s="1"/>
  <c r="J71" i="3"/>
  <c r="L71" i="3" s="1"/>
  <c r="M71" i="3" s="1"/>
  <c r="J66" i="3"/>
  <c r="L66" i="3" s="1"/>
  <c r="M66" i="3" s="1"/>
  <c r="J88" i="3"/>
  <c r="L88" i="3" s="1"/>
  <c r="M88" i="3" s="1"/>
  <c r="J57" i="3"/>
  <c r="L57" i="3" s="1"/>
  <c r="M57" i="3" s="1"/>
  <c r="J59" i="3"/>
  <c r="L59" i="3" s="1"/>
  <c r="M59" i="3" s="1"/>
  <c r="J60" i="3"/>
  <c r="L60" i="3" s="1"/>
  <c r="M60" i="3" s="1"/>
  <c r="J58" i="3"/>
  <c r="L58" i="3" s="1"/>
  <c r="M58" i="3" s="1"/>
  <c r="J54" i="3"/>
  <c r="L54" i="3" s="1"/>
  <c r="L170" i="3" l="1"/>
  <c r="M54" i="3"/>
  <c r="B12" i="1" l="1"/>
  <c r="B15" i="1" s="1"/>
  <c r="M170" i="3"/>
</calcChain>
</file>

<file path=xl/sharedStrings.xml><?xml version="1.0" encoding="utf-8"?>
<sst xmlns="http://schemas.openxmlformats.org/spreadsheetml/2006/main" count="1902" uniqueCount="498">
  <si>
    <t>Tesla Yard Split Plan</t>
  </si>
  <si>
    <t>Input / assumption</t>
  </si>
  <si>
    <t>Value</t>
  </si>
  <si>
    <t>Total yard spaces</t>
  </si>
  <si>
    <t>Overflow reserve spaces</t>
  </si>
  <si>
    <t>Priority / short-stay buffer spaces</t>
  </si>
  <si>
    <t>Destination-allocated spaces</t>
  </si>
  <si>
    <t>One-way lane capacity (spaces)</t>
  </si>
  <si>
    <t>Derived metric</t>
  </si>
  <si>
    <t>Country extra spaces to distribute</t>
  </si>
  <si>
    <t>Estimated destination lanes</t>
  </si>
  <si>
    <t>Overflow lanes</t>
  </si>
  <si>
    <t>Priority lanes</t>
  </si>
  <si>
    <t>Total planned lanes</t>
  </si>
  <si>
    <t>Country allocation rule</t>
  </si>
  <si>
    <t>Proportional to hub count in uploaded destination list</t>
  </si>
  <si>
    <t>City allocation rule</t>
  </si>
  <si>
    <t>Weighted within each country: primary 2.0, secondary 1.25-1.5, standard 1.0</t>
  </si>
  <si>
    <t>Physical layout rule</t>
  </si>
  <si>
    <t>One-way lanes, parking both sides, 50 spaces per lane assumption</t>
  </si>
  <si>
    <t>Country</t>
  </si>
  <si>
    <t>Hub Count</t>
  </si>
  <si>
    <t>Hub Share</t>
  </si>
  <si>
    <t>Exact Spaces</t>
  </si>
  <si>
    <t>Base Spaces</t>
  </si>
  <si>
    <t>Remainder</t>
  </si>
  <si>
    <t>Remainder Rank</t>
  </si>
  <si>
    <t>+1 Extra</t>
  </si>
  <si>
    <t>Final Country Spaces</t>
  </si>
  <si>
    <t>Est. Lanes @50</t>
  </si>
  <si>
    <t>United Kingdom</t>
  </si>
  <si>
    <t>Method</t>
  </si>
  <si>
    <t>Germany</t>
  </si>
  <si>
    <t>Baseline split = proportional to country hub count.</t>
  </si>
  <si>
    <t>France</t>
  </si>
  <si>
    <t>Spain</t>
  </si>
  <si>
    <t>Netherlands</t>
  </si>
  <si>
    <t>Switzerland</t>
  </si>
  <si>
    <t>Austria</t>
  </si>
  <si>
    <t>Denmark</t>
  </si>
  <si>
    <t>Belgium</t>
  </si>
  <si>
    <t>Finland</t>
  </si>
  <si>
    <t>Ireland</t>
  </si>
  <si>
    <t>TOTAL</t>
  </si>
  <si>
    <t>City / Hub</t>
  </si>
  <si>
    <t>Hub Tier</t>
  </si>
  <si>
    <t>Weight</t>
  </si>
  <si>
    <t>Country Spaces</t>
  </si>
  <si>
    <t>Weight Sum in Country</t>
  </si>
  <si>
    <t>Exact City Spaces</t>
  </si>
  <si>
    <t>Extra Spaces in Country</t>
  </si>
  <si>
    <t>Final City Spaces</t>
  </si>
  <si>
    <t>Dornbirn</t>
  </si>
  <si>
    <t>Standard</t>
  </si>
  <si>
    <t>Tier rules</t>
  </si>
  <si>
    <t>Graz</t>
  </si>
  <si>
    <t>Secondary</t>
  </si>
  <si>
    <t>Primary = capital / main metro proxy (2.0)</t>
  </si>
  <si>
    <t>Innsbruck</t>
  </si>
  <si>
    <t>Secondary = major regional metro (1.25-1.5)</t>
  </si>
  <si>
    <t>Klagenfurt am Wörthersee</t>
  </si>
  <si>
    <t>Standard = all other hubs (1.0)</t>
  </si>
  <si>
    <t>Linz</t>
  </si>
  <si>
    <t>Salzburg</t>
  </si>
  <si>
    <t>Sankt Pölten</t>
  </si>
  <si>
    <t>Vienna</t>
  </si>
  <si>
    <t>Primary</t>
  </si>
  <si>
    <t>Antwerp</t>
  </si>
  <si>
    <t>Bruges</t>
  </si>
  <si>
    <t>Brussels</t>
  </si>
  <si>
    <t>Ghent</t>
  </si>
  <si>
    <t>Hasselt</t>
  </si>
  <si>
    <t>Liège</t>
  </si>
  <si>
    <t>Aalborg</t>
  </si>
  <si>
    <t>Aarhus</t>
  </si>
  <si>
    <t>Hillerød</t>
  </si>
  <si>
    <t>Køge</t>
  </si>
  <si>
    <t>Odense</t>
  </si>
  <si>
    <t>Ribe</t>
  </si>
  <si>
    <t>Søborg</t>
  </si>
  <si>
    <t>Oulu</t>
  </si>
  <si>
    <t>Tampere</t>
  </si>
  <si>
    <t>Turku</t>
  </si>
  <si>
    <t>Vantaa</t>
  </si>
  <si>
    <t>Aix-en-Provence</t>
  </si>
  <si>
    <t>Amiens</t>
  </si>
  <si>
    <t>Annemasse</t>
  </si>
  <si>
    <t>Bayonne</t>
  </si>
  <si>
    <t>Bordeaux</t>
  </si>
  <si>
    <t>Caen</t>
  </si>
  <si>
    <t>Cannes</t>
  </si>
  <si>
    <t>Chambéry</t>
  </si>
  <si>
    <t>Clermont-Ferrand</t>
  </si>
  <si>
    <t>Dijon</t>
  </si>
  <si>
    <t>La Rochelle</t>
  </si>
  <si>
    <t>Lille</t>
  </si>
  <si>
    <t>Lyon</t>
  </si>
  <si>
    <t>Marseille</t>
  </si>
  <si>
    <t>Maurepas</t>
  </si>
  <si>
    <t>Montpellier</t>
  </si>
  <si>
    <t>Mulhouse</t>
  </si>
  <si>
    <t>Nancy</t>
  </si>
  <si>
    <t>Nantes</t>
  </si>
  <si>
    <t>Paris</t>
  </si>
  <si>
    <t>Perpignan</t>
  </si>
  <si>
    <t>Reims</t>
  </si>
  <si>
    <t>Rennes</t>
  </si>
  <si>
    <t>Rouen</t>
  </si>
  <si>
    <t>Strasbourg</t>
  </si>
  <si>
    <t>Toulouse</t>
  </si>
  <si>
    <t>Tours</t>
  </si>
  <si>
    <t>Augsburg</t>
  </si>
  <si>
    <t>Berlin</t>
  </si>
  <si>
    <t>Bielefeld</t>
  </si>
  <si>
    <t>Braunschweig</t>
  </si>
  <si>
    <t>Bremen</t>
  </si>
  <si>
    <t>Dortmund</t>
  </si>
  <si>
    <t>Dresden</t>
  </si>
  <si>
    <t>Duisburg</t>
  </si>
  <si>
    <t>Düsseldorf</t>
  </si>
  <si>
    <t>Erfurt</t>
  </si>
  <si>
    <t>Frankfurt am Main</t>
  </si>
  <si>
    <t>Freiburg im Breisgau</t>
  </si>
  <si>
    <t>Fürth</t>
  </si>
  <si>
    <t>Gießen</t>
  </si>
  <si>
    <t>Hamburg</t>
  </si>
  <si>
    <t>Hannover</t>
  </si>
  <si>
    <t>Heilbronn</t>
  </si>
  <si>
    <t>Ingolstadt</t>
  </si>
  <si>
    <t>Karlsruhe</t>
  </si>
  <si>
    <t>Kiel</t>
  </si>
  <si>
    <t>Koblenz</t>
  </si>
  <si>
    <t>Köln</t>
  </si>
  <si>
    <t>Leipzig</t>
  </si>
  <si>
    <t>Magdeburg</t>
  </si>
  <si>
    <t>Mannheim</t>
  </si>
  <si>
    <t>Memmingen</t>
  </si>
  <si>
    <t>München</t>
  </si>
  <si>
    <t>Neu-Ulm</t>
  </si>
  <si>
    <t>Nürnberg</t>
  </si>
  <si>
    <t>Oldenburg</t>
  </si>
  <si>
    <t>Regensburg</t>
  </si>
  <si>
    <t>Rostock</t>
  </si>
  <si>
    <t>Saarbrücken</t>
  </si>
  <si>
    <t>Stuttgart</t>
  </si>
  <si>
    <t>Teltow</t>
  </si>
  <si>
    <t>Cork</t>
  </si>
  <si>
    <t>Dublin</t>
  </si>
  <si>
    <t>Swords</t>
  </si>
  <si>
    <t>Amsterdam</t>
  </si>
  <si>
    <t>Arnhem</t>
  </si>
  <si>
    <t>Den Haag</t>
  </si>
  <si>
    <t>Eindhoven</t>
  </si>
  <si>
    <t>Goes</t>
  </si>
  <si>
    <t>Groningen</t>
  </si>
  <si>
    <t>Hengelo</t>
  </si>
  <si>
    <t>Purmerend</t>
  </si>
  <si>
    <t>Roermond</t>
  </si>
  <si>
    <t>Rotterdam</t>
  </si>
  <si>
    <t>Tilburg</t>
  </si>
  <si>
    <t>Utrecht</t>
  </si>
  <si>
    <t>Zwolle</t>
  </si>
  <si>
    <t>A Coruña</t>
  </si>
  <si>
    <t>Alicante</t>
  </si>
  <si>
    <t>Barcelona</t>
  </si>
  <si>
    <t>Iurreta</t>
  </si>
  <si>
    <t>La Eliana</t>
  </si>
  <si>
    <t>Madrid</t>
  </si>
  <si>
    <t>Mallorca</t>
  </si>
  <si>
    <t>Murcia</t>
  </si>
  <si>
    <t>Málaga</t>
  </si>
  <si>
    <t>Oiartzun</t>
  </si>
  <si>
    <t>Reus</t>
  </si>
  <si>
    <t>Sevilla</t>
  </si>
  <si>
    <t>Valencia</t>
  </si>
  <si>
    <t>Vigo</t>
  </si>
  <si>
    <t>Basel</t>
  </si>
  <si>
    <t>Bellinzona</t>
  </si>
  <si>
    <t>Bern</t>
  </si>
  <si>
    <t>Cham</t>
  </si>
  <si>
    <t>Geneva</t>
  </si>
  <si>
    <t>Landquart</t>
  </si>
  <si>
    <t>Lausanne</t>
  </si>
  <si>
    <t>Schaffhausen</t>
  </si>
  <si>
    <t>St. Gallen</t>
  </si>
  <si>
    <t>Winterthur</t>
  </si>
  <si>
    <t>Zürich</t>
  </si>
  <si>
    <t>Aberdeen</t>
  </si>
  <si>
    <t>Aylesbury</t>
  </si>
  <si>
    <t>Belfast</t>
  </si>
  <si>
    <t>Bicester</t>
  </si>
  <si>
    <t>Birmingham</t>
  </si>
  <si>
    <t>Bournemouth</t>
  </si>
  <si>
    <t>Bristol</t>
  </si>
  <si>
    <t>Cambridge</t>
  </si>
  <si>
    <t>Cardiff</t>
  </si>
  <si>
    <t>Chelmsford</t>
  </si>
  <si>
    <t>Chester</t>
  </si>
  <si>
    <t>Crawley</t>
  </si>
  <si>
    <t>Dartford</t>
  </si>
  <si>
    <t>Edinburgh</t>
  </si>
  <si>
    <t>Exeter</t>
  </si>
  <si>
    <t>Gateshead</t>
  </si>
  <si>
    <t>Glasgow</t>
  </si>
  <si>
    <t>Grays</t>
  </si>
  <si>
    <t>Guildford</t>
  </si>
  <si>
    <t>Leeds</t>
  </si>
  <si>
    <t>Lincoln</t>
  </si>
  <si>
    <t>Liverpool</t>
  </si>
  <si>
    <t>London</t>
  </si>
  <si>
    <t>Manchester</t>
  </si>
  <si>
    <t>Milton Keynes</t>
  </si>
  <si>
    <t>Newcastle</t>
  </si>
  <si>
    <t>Northampton</t>
  </si>
  <si>
    <t>Norwich</t>
  </si>
  <si>
    <t>Nottingham</t>
  </si>
  <si>
    <t>Oxford</t>
  </si>
  <si>
    <t>Reading</t>
  </si>
  <si>
    <t>Sheffield</t>
  </si>
  <si>
    <t>Solihull</t>
  </si>
  <si>
    <t>Southampton</t>
  </si>
  <si>
    <t>St Albans</t>
  </si>
  <si>
    <t>Watford</t>
  </si>
  <si>
    <t>West Drayton</t>
  </si>
  <si>
    <t>Weybridge</t>
  </si>
  <si>
    <t>Winchester</t>
  </si>
  <si>
    <t>Wolverhampton</t>
  </si>
  <si>
    <t>Lane ID</t>
  </si>
  <si>
    <t>Zone Type</t>
  </si>
  <si>
    <t>Lane Sequence</t>
  </si>
  <si>
    <t>Target Spaces</t>
  </si>
  <si>
    <t>AT-VIEN-01</t>
  </si>
  <si>
    <t>Destination</t>
  </si>
  <si>
    <t>AT-VIEN-02</t>
  </si>
  <si>
    <t>AT-GRAZ-01</t>
  </si>
  <si>
    <t>AT-GRAZ-02</t>
  </si>
  <si>
    <t>AT-INNS-01</t>
  </si>
  <si>
    <t>AT-INNS-02</t>
  </si>
  <si>
    <t>AT-LINZ-01</t>
  </si>
  <si>
    <t>AT-LINZ-02</t>
  </si>
  <si>
    <t>AT-SALZ-01</t>
  </si>
  <si>
    <t>AT-SALZ-02</t>
  </si>
  <si>
    <t>AT-DORN-01</t>
  </si>
  <si>
    <t>AT-KLAG-01</t>
  </si>
  <si>
    <t>AT-SANK-01</t>
  </si>
  <si>
    <t>BE-BRUS-01</t>
  </si>
  <si>
    <t>BE-BRUS-02</t>
  </si>
  <si>
    <t>BE-GHEN-01</t>
  </si>
  <si>
    <t>BE-GHEN-02</t>
  </si>
  <si>
    <t>BE-LIGE-01</t>
  </si>
  <si>
    <t>BE-LIGE-02</t>
  </si>
  <si>
    <t>BE-ANTW-01</t>
  </si>
  <si>
    <t>BE-ANTW-02</t>
  </si>
  <si>
    <t>BE-BRUG-01</t>
  </si>
  <si>
    <t>BE-HASS-01</t>
  </si>
  <si>
    <t>DK-SBOR-01</t>
  </si>
  <si>
    <t>DK-SBOR-02</t>
  </si>
  <si>
    <t>DK-AARH-01</t>
  </si>
  <si>
    <t>DK-AARH-02</t>
  </si>
  <si>
    <t>DK-ODEN-01</t>
  </si>
  <si>
    <t>DK-ODEN-02</t>
  </si>
  <si>
    <t>DK-HILL-01</t>
  </si>
  <si>
    <t>DK-KGE-01</t>
  </si>
  <si>
    <t>DK-AALB-01</t>
  </si>
  <si>
    <t>DK-RIBE-01</t>
  </si>
  <si>
    <t>FI-VANT-01</t>
  </si>
  <si>
    <t>FI-VANT-02</t>
  </si>
  <si>
    <t>FI-TURK-01</t>
  </si>
  <si>
    <t>FI-TAMP-01</t>
  </si>
  <si>
    <t>FI-OULU-01</t>
  </si>
  <si>
    <t>FR-PARI-01</t>
  </si>
  <si>
    <t>FR-PARI-02</t>
  </si>
  <si>
    <t>FR-MARS-01</t>
  </si>
  <si>
    <t>FR-MARS-02</t>
  </si>
  <si>
    <t>FR-NANT-01</t>
  </si>
  <si>
    <t>FR-NANT-02</t>
  </si>
  <si>
    <t>FR-TOUL-01</t>
  </si>
  <si>
    <t>FR-TOUL-02</t>
  </si>
  <si>
    <t>FR-BORD-01</t>
  </si>
  <si>
    <t>FR-BORD-02</t>
  </si>
  <si>
    <t>FR-LILL-01</t>
  </si>
  <si>
    <t>FR-LILL-02</t>
  </si>
  <si>
    <t>FR-LYON-01</t>
  </si>
  <si>
    <t>FR-LYON-02</t>
  </si>
  <si>
    <t>FR-MONT-01</t>
  </si>
  <si>
    <t>FR-MONT-02</t>
  </si>
  <si>
    <t>FR-RENN-01</t>
  </si>
  <si>
    <t>FR-RENN-02</t>
  </si>
  <si>
    <t>FR-STRA-01</t>
  </si>
  <si>
    <t>FR-STRA-02</t>
  </si>
  <si>
    <t>FR-AIXE-01</t>
  </si>
  <si>
    <t>FR-AMIE-01</t>
  </si>
  <si>
    <t>FR-ANNE-01</t>
  </si>
  <si>
    <t>FR-BAYO-01</t>
  </si>
  <si>
    <t>FR-CAEN-01</t>
  </si>
  <si>
    <t>FR-CANN-01</t>
  </si>
  <si>
    <t>FR-CHAM-01</t>
  </si>
  <si>
    <t>FR-CLER-01</t>
  </si>
  <si>
    <t>FR-DIJO-01</t>
  </si>
  <si>
    <t>FR-LARO-01</t>
  </si>
  <si>
    <t>FR-MAUR-01</t>
  </si>
  <si>
    <t>FR-MULH-01</t>
  </si>
  <si>
    <t>FR-NANC-01</t>
  </si>
  <si>
    <t>FR-PERP-01</t>
  </si>
  <si>
    <t>FR-REIM-01</t>
  </si>
  <si>
    <t>FR-ROUE-01</t>
  </si>
  <si>
    <t>FR-TOUR-01</t>
  </si>
  <si>
    <t>DE-BERL-01</t>
  </si>
  <si>
    <t>DE-BERL-02</t>
  </si>
  <si>
    <t>DE-DSSE-01</t>
  </si>
  <si>
    <t>DE-DSSE-02</t>
  </si>
  <si>
    <t>DE-FRAN-01</t>
  </si>
  <si>
    <t>DE-FRAN-02</t>
  </si>
  <si>
    <t>DE-HAMB-01</t>
  </si>
  <si>
    <t>DE-HAMB-02</t>
  </si>
  <si>
    <t>DE-KLN-01</t>
  </si>
  <si>
    <t>DE-KLN-02</t>
  </si>
  <si>
    <t>DE-MNCH-01</t>
  </si>
  <si>
    <t>DE-MNCH-02</t>
  </si>
  <si>
    <t>DE-STUT-01</t>
  </si>
  <si>
    <t>DE-STUT-02</t>
  </si>
  <si>
    <t>DE-LEIP-01</t>
  </si>
  <si>
    <t>DE-LEIP-02</t>
  </si>
  <si>
    <t>DE-NRNB-01</t>
  </si>
  <si>
    <t>DE-NRNB-02</t>
  </si>
  <si>
    <t>DE-BREM-01</t>
  </si>
  <si>
    <t>DE-BREM-02</t>
  </si>
  <si>
    <t>DE-DORT-01</t>
  </si>
  <si>
    <t>DE-DORT-02</t>
  </si>
  <si>
    <t>DE-DRES-01</t>
  </si>
  <si>
    <t>DE-DRES-02</t>
  </si>
  <si>
    <t>DE-HANN-01</t>
  </si>
  <si>
    <t>DE-HANN-02</t>
  </si>
  <si>
    <t>DE-AUGS-01</t>
  </si>
  <si>
    <t>DE-BIEL-01</t>
  </si>
  <si>
    <t>DE-BRAU-01</t>
  </si>
  <si>
    <t>DE-DUIS-01</t>
  </si>
  <si>
    <t>DE-ERFU-01</t>
  </si>
  <si>
    <t>DE-FREI-01</t>
  </si>
  <si>
    <t>DE-FRTH-01</t>
  </si>
  <si>
    <t>DE-GIES-01</t>
  </si>
  <si>
    <t>DE-HEIL-01</t>
  </si>
  <si>
    <t>DE-INGO-01</t>
  </si>
  <si>
    <t>DE-KARL-01</t>
  </si>
  <si>
    <t>DE-KIEL-01</t>
  </si>
  <si>
    <t>DE-KOBL-01</t>
  </si>
  <si>
    <t>DE-MAGD-01</t>
  </si>
  <si>
    <t>DE-MANN-01</t>
  </si>
  <si>
    <t>DE-MEMM-01</t>
  </si>
  <si>
    <t>DE-NEUU-01</t>
  </si>
  <si>
    <t>DE-OLDE-01</t>
  </si>
  <si>
    <t>DE-REGE-01</t>
  </si>
  <si>
    <t>DE-ROST-01</t>
  </si>
  <si>
    <t>DE-SAAR-01</t>
  </si>
  <si>
    <t>DE-TELT-01</t>
  </si>
  <si>
    <t>IE-DUBL-01</t>
  </si>
  <si>
    <t>IE-DUBL-02</t>
  </si>
  <si>
    <t>IE-CORK-01</t>
  </si>
  <si>
    <t>IE-SWOR-01</t>
  </si>
  <si>
    <t>NL-AMST-01</t>
  </si>
  <si>
    <t>NL-AMST-02</t>
  </si>
  <si>
    <t>NL-DENH-01</t>
  </si>
  <si>
    <t>NL-DENH-02</t>
  </si>
  <si>
    <t>NL-EIND-01</t>
  </si>
  <si>
    <t>NL-EIND-02</t>
  </si>
  <si>
    <t>NL-ROTT-01</t>
  </si>
  <si>
    <t>NL-ROTT-02</t>
  </si>
  <si>
    <t>NL-UTRE-01</t>
  </si>
  <si>
    <t>NL-UTRE-02</t>
  </si>
  <si>
    <t>NL-ARNH-01</t>
  </si>
  <si>
    <t>NL-GOES-01</t>
  </si>
  <si>
    <t>NL-GRON-01</t>
  </si>
  <si>
    <t>NL-HENG-01</t>
  </si>
  <si>
    <t>NL-PURM-01</t>
  </si>
  <si>
    <t>NL-ROER-01</t>
  </si>
  <si>
    <t>NL-TILB-01</t>
  </si>
  <si>
    <t>NL-ZWOL-01</t>
  </si>
  <si>
    <t>ES-BARC-01</t>
  </si>
  <si>
    <t>ES-BARC-02</t>
  </si>
  <si>
    <t>ES-MADR-01</t>
  </si>
  <si>
    <t>ES-MADR-02</t>
  </si>
  <si>
    <t>ES-MLAG-01</t>
  </si>
  <si>
    <t>ES-MLAG-02</t>
  </si>
  <si>
    <t>ES-SEVI-01</t>
  </si>
  <si>
    <t>ES-SEVI-02</t>
  </si>
  <si>
    <t>ES-VALE-01</t>
  </si>
  <si>
    <t>ES-VALE-02</t>
  </si>
  <si>
    <t>ES-ALIC-01</t>
  </si>
  <si>
    <t>ES-ACOR-01</t>
  </si>
  <si>
    <t>ES-IURR-01</t>
  </si>
  <si>
    <t>ES-LAEL-01</t>
  </si>
  <si>
    <t>ES-MALL-01</t>
  </si>
  <si>
    <t>ES-MURC-01</t>
  </si>
  <si>
    <t>ES-OIAR-01</t>
  </si>
  <si>
    <t>ES-REUS-01</t>
  </si>
  <si>
    <t>ES-VIGO-01</t>
  </si>
  <si>
    <t>CH-ZRIC-01</t>
  </si>
  <si>
    <t>CH-ZRIC-02</t>
  </si>
  <si>
    <t>CH-GENE-01</t>
  </si>
  <si>
    <t>CH-GENE-02</t>
  </si>
  <si>
    <t>CH-LAUS-01</t>
  </si>
  <si>
    <t>CH-LAUS-02</t>
  </si>
  <si>
    <t>CH-BASE-01</t>
  </si>
  <si>
    <t>CH-BASE-02</t>
  </si>
  <si>
    <t>CH-BERN-01</t>
  </si>
  <si>
    <t>CH-BERN-02</t>
  </si>
  <si>
    <t>CH-WINT-01</t>
  </si>
  <si>
    <t>CH-BELL-01</t>
  </si>
  <si>
    <t>CH-CHAM-01</t>
  </si>
  <si>
    <t>CH-LAND-01</t>
  </si>
  <si>
    <t>CH-SCHA-01</t>
  </si>
  <si>
    <t>CH-STGA-01</t>
  </si>
  <si>
    <t>UK-LOND-01</t>
  </si>
  <si>
    <t>UK-LOND-02</t>
  </si>
  <si>
    <t>UK-GLAS-01</t>
  </si>
  <si>
    <t>UK-GLAS-02</t>
  </si>
  <si>
    <t>UK-LEED-01</t>
  </si>
  <si>
    <t>UK-LEED-02</t>
  </si>
  <si>
    <t>UK-MANC-01</t>
  </si>
  <si>
    <t>UK-MANC-02</t>
  </si>
  <si>
    <t>UK-BIRM-01</t>
  </si>
  <si>
    <t>UK-BIRM-02</t>
  </si>
  <si>
    <t>UK-EDIN-01</t>
  </si>
  <si>
    <t>UK-EDIN-02</t>
  </si>
  <si>
    <t>UK-BRIS-01</t>
  </si>
  <si>
    <t>UK-BRIS-02</t>
  </si>
  <si>
    <t>UK-CARD-01</t>
  </si>
  <si>
    <t>UK-CARD-02</t>
  </si>
  <si>
    <t>UK-LIVE-01</t>
  </si>
  <si>
    <t>UK-LIVE-02</t>
  </si>
  <si>
    <t>UK-NEWC-01</t>
  </si>
  <si>
    <t>UK-NEWC-02</t>
  </si>
  <si>
    <t>UK-SHEF-01</t>
  </si>
  <si>
    <t>UK-SHEF-02</t>
  </si>
  <si>
    <t>UK-SOUT-01</t>
  </si>
  <si>
    <t>UK-SOUT-02</t>
  </si>
  <si>
    <t>UK-ABER-01</t>
  </si>
  <si>
    <t>UK-AYLE-01</t>
  </si>
  <si>
    <t>UK-BELF-01</t>
  </si>
  <si>
    <t>UK-BICE-01</t>
  </si>
  <si>
    <t>UK-BOUR-01</t>
  </si>
  <si>
    <t>UK-CAMB-01</t>
  </si>
  <si>
    <t>UK-CHEL-01</t>
  </si>
  <si>
    <t>UK-CHES-01</t>
  </si>
  <si>
    <t>UK-CRAW-01</t>
  </si>
  <si>
    <t>UK-DART-01</t>
  </si>
  <si>
    <t>UK-EXET-01</t>
  </si>
  <si>
    <t>UK-GATE-01</t>
  </si>
  <si>
    <t>UK-GRAY-01</t>
  </si>
  <si>
    <t>UK-GUIL-01</t>
  </si>
  <si>
    <t>UK-LINC-01</t>
  </si>
  <si>
    <t>UK-MILT-01</t>
  </si>
  <si>
    <t>UK-NORT-01</t>
  </si>
  <si>
    <t>UK-NORW-01</t>
  </si>
  <si>
    <t>UK-NOTT-01</t>
  </si>
  <si>
    <t>UK-OXFO-01</t>
  </si>
  <si>
    <t>UK-READ-01</t>
  </si>
  <si>
    <t>UK-SOLI-01</t>
  </si>
  <si>
    <t>UK-STAL-01</t>
  </si>
  <si>
    <t>UK-WATF-01</t>
  </si>
  <si>
    <t>UK-WEST-01</t>
  </si>
  <si>
    <t>UK-WEYB-01</t>
  </si>
  <si>
    <t>UK-WINC-01</t>
  </si>
  <si>
    <t>UK-WOLV-01</t>
  </si>
  <si>
    <t>OVR-01</t>
  </si>
  <si>
    <t>Overflow Reserve</t>
  </si>
  <si>
    <t>OVR-02</t>
  </si>
  <si>
    <t>OVR-03</t>
  </si>
  <si>
    <t>OVR-04</t>
  </si>
  <si>
    <t>OVR-05</t>
  </si>
  <si>
    <t>OVR-06</t>
  </si>
  <si>
    <t>OVR-07</t>
  </si>
  <si>
    <t>OVR-08</t>
  </si>
  <si>
    <t>OVR-09</t>
  </si>
  <si>
    <t>OVR-10</t>
  </si>
  <si>
    <t>OVR-11</t>
  </si>
  <si>
    <t>OVR-12</t>
  </si>
  <si>
    <t>OVR-13</t>
  </si>
  <si>
    <t>OVR-14</t>
  </si>
  <si>
    <t>OVR-15</t>
  </si>
  <si>
    <t>OVR-16</t>
  </si>
  <si>
    <t>OVR-17</t>
  </si>
  <si>
    <t>OVR-18</t>
  </si>
  <si>
    <t>OVR-19</t>
  </si>
  <si>
    <t>OVR-20</t>
  </si>
  <si>
    <t>PRI-01</t>
  </si>
  <si>
    <t>Priority Buffer</t>
  </si>
  <si>
    <t>PRI-02</t>
  </si>
  <si>
    <t>PRI-03</t>
  </si>
  <si>
    <t>PRI-04</t>
  </si>
  <si>
    <t>PRI-05</t>
  </si>
  <si>
    <t>PRI-06</t>
  </si>
  <si>
    <t>PRI-07</t>
  </si>
  <si>
    <t>PRI-08</t>
  </si>
  <si>
    <t>PRI-09</t>
  </si>
  <si>
    <t>PRI-10</t>
  </si>
  <si>
    <t>Used as source list</t>
  </si>
  <si>
    <t>Country/city inputs driving the yard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</si>
</sst>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AF4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" fontId="0" fillId="0" borderId="0" xfId="0" applyNumberFormat="1" applyAlignment="1">
      <alignment vertical="top" wrapText="1"/>
    </xf>
    <xf numFmtId="0" fontId="2" fillId="2" borderId="0" xfId="0" applyFont="1" applyFill="1" applyAlignment="1">
      <alignment vertical="top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4" borderId="0" xfId="0" applyFont="1" applyFill="1"/>
    <xf numFmtId="0" fontId="0" fillId="5" borderId="0" xfId="0" applyFill="1" applyAlignment="1">
      <alignment wrapText="1"/>
    </xf>
    <xf numFmtId="0" fontId="3" fillId="3" borderId="2" xfId="0" applyFont="1" applyFill="1" applyBorder="1"/>
    <xf numFmtId="1" fontId="3" fillId="3" borderId="2" xfId="0" applyNumberFormat="1" applyFont="1" applyFill="1" applyBorder="1"/>
    <xf numFmtId="164" fontId="3" fillId="3" borderId="2" xfId="0" applyNumberFormat="1" applyFont="1" applyFill="1" applyBorder="1"/>
    <xf numFmtId="165" fontId="3" fillId="3" borderId="2" xfId="0" applyNumberFormat="1" applyFont="1" applyFill="1" applyBorder="1"/>
    <xf numFmtId="166" fontId="3" fillId="3" borderId="2" xfId="0" applyNumberFormat="1" applyFont="1" applyFill="1" applyBorder="1"/>
    <xf numFmtId="2" fontId="0" fillId="0" borderId="0" xfId="0" applyNumberFormat="1"/>
    <xf numFmtId="2" fontId="3" fillId="3" borderId="2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6" customWidth="1"/>
    <col min="2" max="2" width="85" customWidth="1"/>
  </cols>
  <sheetData>
    <row r="1" spans="1:2" ht="19" x14ac:dyDescent="0.25">
      <c r="A1" s="2" t="s">
        <v>0</v>
      </c>
    </row>
    <row r="3" spans="1:2" x14ac:dyDescent="0.2">
      <c r="A3" s="3" t="s">
        <v>1</v>
      </c>
      <c r="B3" s="3" t="s">
        <v>2</v>
      </c>
    </row>
    <row r="4" spans="1:2" x14ac:dyDescent="0.2">
      <c r="A4" t="s">
        <v>3</v>
      </c>
      <c r="B4" s="4">
        <v>10000</v>
      </c>
    </row>
    <row r="5" spans="1:2" x14ac:dyDescent="0.2">
      <c r="A5" t="s">
        <v>4</v>
      </c>
      <c r="B5" s="4">
        <v>1000</v>
      </c>
    </row>
    <row r="6" spans="1:2" x14ac:dyDescent="0.2">
      <c r="A6" t="s">
        <v>5</v>
      </c>
      <c r="B6" s="4">
        <v>500</v>
      </c>
    </row>
    <row r="7" spans="1:2" ht="16" x14ac:dyDescent="0.2">
      <c r="A7" t="s">
        <v>6</v>
      </c>
      <c r="B7" s="4">
        <f>B4-B5-B6</f>
        <v>8500</v>
      </c>
    </row>
    <row r="8" spans="1:2" x14ac:dyDescent="0.2">
      <c r="A8" t="s">
        <v>7</v>
      </c>
      <c r="B8" s="4">
        <v>50</v>
      </c>
    </row>
    <row r="9" spans="1:2" x14ac:dyDescent="0.2">
      <c r="B9" s="1"/>
    </row>
    <row r="10" spans="1:2" ht="16" x14ac:dyDescent="0.2">
      <c r="A10" s="3" t="s">
        <v>8</v>
      </c>
      <c r="B10" s="5" t="s">
        <v>2</v>
      </c>
    </row>
    <row r="11" spans="1:2" ht="16" x14ac:dyDescent="0.2">
      <c r="A11" t="s">
        <v>9</v>
      </c>
      <c r="B11" s="4">
        <f>B7-SUM(Country_Zones!E2:E12)</f>
        <v>6</v>
      </c>
    </row>
    <row r="12" spans="1:2" ht="16" x14ac:dyDescent="0.2">
      <c r="A12" t="s">
        <v>10</v>
      </c>
      <c r="B12" s="4">
        <f>SUM(City_Zones!M2:M169)</f>
        <v>232</v>
      </c>
    </row>
    <row r="13" spans="1:2" ht="16" x14ac:dyDescent="0.2">
      <c r="A13" t="s">
        <v>11</v>
      </c>
      <c r="B13" s="4">
        <f>ROUNDUP(B5/B8,0)</f>
        <v>20</v>
      </c>
    </row>
    <row r="14" spans="1:2" ht="16" x14ac:dyDescent="0.2">
      <c r="A14" t="s">
        <v>12</v>
      </c>
      <c r="B14" s="4">
        <f>ROUNDUP(B6/B8,0)</f>
        <v>10</v>
      </c>
    </row>
    <row r="15" spans="1:2" ht="16" x14ac:dyDescent="0.2">
      <c r="A15" t="s">
        <v>13</v>
      </c>
      <c r="B15" s="4">
        <f>B12+B13+B14</f>
        <v>262</v>
      </c>
    </row>
    <row r="16" spans="1:2" x14ac:dyDescent="0.2">
      <c r="B16" s="1"/>
    </row>
    <row r="17" spans="1:2" ht="16" x14ac:dyDescent="0.2">
      <c r="A17" t="s">
        <v>14</v>
      </c>
      <c r="B17" s="1" t="s">
        <v>15</v>
      </c>
    </row>
    <row r="18" spans="1:2" ht="16" x14ac:dyDescent="0.2">
      <c r="A18" t="s">
        <v>16</v>
      </c>
      <c r="B18" s="1" t="s">
        <v>17</v>
      </c>
    </row>
    <row r="19" spans="1:2" ht="16" x14ac:dyDescent="0.2">
      <c r="A19" t="s">
        <v>18</v>
      </c>
      <c r="B19" s="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3" width="10" customWidth="1"/>
    <col min="4" max="5" width="12" customWidth="1"/>
    <col min="6" max="6" width="10" customWidth="1"/>
    <col min="7" max="7" width="14" customWidth="1"/>
    <col min="8" max="8" width="9" customWidth="1"/>
    <col min="9" max="9" width="17" customWidth="1"/>
    <col min="10" max="10" width="12" customWidth="1"/>
    <col min="12" max="12" width="14" customWidth="1"/>
    <col min="13" max="13" width="35" customWidth="1"/>
  </cols>
  <sheetData>
    <row r="1" spans="1:12" x14ac:dyDescent="0.2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</row>
    <row r="2" spans="1:12" x14ac:dyDescent="0.2">
      <c r="A2" t="s">
        <v>30</v>
      </c>
      <c r="B2" s="6">
        <v>40</v>
      </c>
      <c r="C2" s="7">
        <f t="shared" ref="C2:C12" si="0">B2/SUM($B$2:$B$12)</f>
        <v>0.23809523809523808</v>
      </c>
      <c r="D2" s="8">
        <f>C2*Controls!$B$7</f>
        <v>2023.8095238095236</v>
      </c>
      <c r="E2" s="6">
        <f t="shared" ref="E2:E12" si="1">INT(D2)</f>
        <v>2023</v>
      </c>
      <c r="F2" s="9">
        <f t="shared" ref="F2:F12" si="2">D2-E2</f>
        <v>0.80952380952362546</v>
      </c>
      <c r="G2" s="6">
        <f>COUNTIF($F$2:$F$12,"&gt;"&amp;F2)+COUNTIF($F$2:F2,F2)</f>
        <v>2</v>
      </c>
      <c r="H2" s="6">
        <f>IF(G2&lt;=Controls!$B$11,1,0)</f>
        <v>1</v>
      </c>
      <c r="I2" s="6">
        <f t="shared" ref="I2:I12" si="3">E2+H2</f>
        <v>2024</v>
      </c>
      <c r="J2" s="6">
        <f>ROUNDUP(I2/Controls!$B$8,0)</f>
        <v>41</v>
      </c>
      <c r="L2" s="10" t="s">
        <v>31</v>
      </c>
    </row>
    <row r="3" spans="1:12" ht="64" x14ac:dyDescent="0.2">
      <c r="A3" t="s">
        <v>32</v>
      </c>
      <c r="B3" s="6">
        <v>35</v>
      </c>
      <c r="C3" s="7">
        <f t="shared" si="0"/>
        <v>0.20833333333333334</v>
      </c>
      <c r="D3" s="8">
        <f>C3*Controls!$B$7</f>
        <v>1770.8333333333335</v>
      </c>
      <c r="E3" s="6">
        <f t="shared" si="1"/>
        <v>1770</v>
      </c>
      <c r="F3" s="9">
        <f t="shared" si="2"/>
        <v>0.83333333333348492</v>
      </c>
      <c r="G3" s="6">
        <f>COUNTIF($F$2:$F$12,"&gt;"&amp;F3)+COUNTIF($F$2:F3,F3)</f>
        <v>1</v>
      </c>
      <c r="H3" s="6">
        <f>IF(G3&lt;=Controls!$B$11,1,0)</f>
        <v>1</v>
      </c>
      <c r="I3" s="6">
        <f t="shared" si="3"/>
        <v>1771</v>
      </c>
      <c r="J3" s="6">
        <f>ROUNDUP(I3/Controls!$B$8,0)</f>
        <v>36</v>
      </c>
      <c r="L3" s="11" t="s">
        <v>33</v>
      </c>
    </row>
    <row r="4" spans="1:12" x14ac:dyDescent="0.2">
      <c r="A4" t="s">
        <v>34</v>
      </c>
      <c r="B4" s="6">
        <v>27</v>
      </c>
      <c r="C4" s="7">
        <f t="shared" si="0"/>
        <v>0.16071428571428573</v>
      </c>
      <c r="D4" s="8">
        <f>C4*Controls!$B$7</f>
        <v>1366.0714285714287</v>
      </c>
      <c r="E4" s="6">
        <f t="shared" si="1"/>
        <v>1366</v>
      </c>
      <c r="F4" s="9">
        <f t="shared" si="2"/>
        <v>7.1428571428668874E-2</v>
      </c>
      <c r="G4" s="6">
        <f>COUNTIF($F$2:$F$12,"&gt;"&amp;F4)+COUNTIF($F$2:F4,F4)</f>
        <v>11</v>
      </c>
      <c r="H4" s="6">
        <f>IF(G4&lt;=Controls!$B$11,1,0)</f>
        <v>0</v>
      </c>
      <c r="I4" s="6">
        <f t="shared" si="3"/>
        <v>1366</v>
      </c>
      <c r="J4" s="6">
        <f>ROUNDUP(I4/Controls!$B$8,0)</f>
        <v>28</v>
      </c>
    </row>
    <row r="5" spans="1:12" x14ac:dyDescent="0.2">
      <c r="A5" t="s">
        <v>35</v>
      </c>
      <c r="B5" s="6">
        <v>14</v>
      </c>
      <c r="C5" s="7">
        <f t="shared" si="0"/>
        <v>8.3333333333333329E-2</v>
      </c>
      <c r="D5" s="8">
        <f>C5*Controls!$B$7</f>
        <v>708.33333333333326</v>
      </c>
      <c r="E5" s="6">
        <f t="shared" si="1"/>
        <v>708</v>
      </c>
      <c r="F5" s="9">
        <f t="shared" si="2"/>
        <v>0.33333333333325754</v>
      </c>
      <c r="G5" s="6">
        <f>COUNTIF($F$2:$F$12,"&gt;"&amp;F5)+COUNTIF($F$2:F5,F5)</f>
        <v>9</v>
      </c>
      <c r="H5" s="6">
        <f>IF(G5&lt;=Controls!$B$11,1,0)</f>
        <v>0</v>
      </c>
      <c r="I5" s="6">
        <f t="shared" si="3"/>
        <v>708</v>
      </c>
      <c r="J5" s="6">
        <f>ROUNDUP(I5/Controls!$B$8,0)</f>
        <v>15</v>
      </c>
    </row>
    <row r="6" spans="1:12" x14ac:dyDescent="0.2">
      <c r="A6" t="s">
        <v>36</v>
      </c>
      <c r="B6" s="6">
        <v>13</v>
      </c>
      <c r="C6" s="7">
        <f t="shared" si="0"/>
        <v>7.7380952380952384E-2</v>
      </c>
      <c r="D6" s="8">
        <f>C6*Controls!$B$7</f>
        <v>657.7380952380953</v>
      </c>
      <c r="E6" s="6">
        <f t="shared" si="1"/>
        <v>657</v>
      </c>
      <c r="F6" s="9">
        <f t="shared" si="2"/>
        <v>0.73809523809529765</v>
      </c>
      <c r="G6" s="6">
        <f>COUNTIF($F$2:$F$12,"&gt;"&amp;F6)+COUNTIF($F$2:F6,F6)</f>
        <v>5</v>
      </c>
      <c r="H6" s="6">
        <f>IF(G6&lt;=Controls!$B$11,1,0)</f>
        <v>1</v>
      </c>
      <c r="I6" s="6">
        <f t="shared" si="3"/>
        <v>658</v>
      </c>
      <c r="J6" s="6">
        <f>ROUNDUP(I6/Controls!$B$8,0)</f>
        <v>14</v>
      </c>
    </row>
    <row r="7" spans="1:12" x14ac:dyDescent="0.2">
      <c r="A7" t="s">
        <v>37</v>
      </c>
      <c r="B7" s="6">
        <v>11</v>
      </c>
      <c r="C7" s="7">
        <f t="shared" si="0"/>
        <v>6.5476190476190479E-2</v>
      </c>
      <c r="D7" s="8">
        <f>C7*Controls!$B$7</f>
        <v>556.54761904761904</v>
      </c>
      <c r="E7" s="6">
        <f t="shared" si="1"/>
        <v>556</v>
      </c>
      <c r="F7" s="9">
        <f t="shared" si="2"/>
        <v>0.54761904761903679</v>
      </c>
      <c r="G7" s="6">
        <f>COUNTIF($F$2:$F$12,"&gt;"&amp;F7)+COUNTIF($F$2:F7,F7)</f>
        <v>7</v>
      </c>
      <c r="H7" s="6">
        <f>IF(G7&lt;=Controls!$B$11,1,0)</f>
        <v>0</v>
      </c>
      <c r="I7" s="6">
        <f t="shared" si="3"/>
        <v>556</v>
      </c>
      <c r="J7" s="6">
        <f>ROUNDUP(I7/Controls!$B$8,0)</f>
        <v>12</v>
      </c>
    </row>
    <row r="8" spans="1:12" x14ac:dyDescent="0.2">
      <c r="A8" t="s">
        <v>38</v>
      </c>
      <c r="B8" s="6">
        <v>8</v>
      </c>
      <c r="C8" s="7">
        <f t="shared" si="0"/>
        <v>4.7619047619047616E-2</v>
      </c>
      <c r="D8" s="8">
        <f>C8*Controls!$B$7</f>
        <v>404.76190476190476</v>
      </c>
      <c r="E8" s="6">
        <f t="shared" si="1"/>
        <v>404</v>
      </c>
      <c r="F8" s="9">
        <f t="shared" si="2"/>
        <v>0.7619047619047592</v>
      </c>
      <c r="G8" s="6">
        <f>COUNTIF($F$2:$F$12,"&gt;"&amp;F8)+COUNTIF($F$2:F8,F8)</f>
        <v>4</v>
      </c>
      <c r="H8" s="6">
        <f>IF(G8&lt;=Controls!$B$11,1,0)</f>
        <v>1</v>
      </c>
      <c r="I8" s="6">
        <f t="shared" si="3"/>
        <v>405</v>
      </c>
      <c r="J8" s="6">
        <f>ROUNDUP(I8/Controls!$B$8,0)</f>
        <v>9</v>
      </c>
    </row>
    <row r="9" spans="1:12" x14ac:dyDescent="0.2">
      <c r="A9" t="s">
        <v>39</v>
      </c>
      <c r="B9" s="6">
        <v>7</v>
      </c>
      <c r="C9" s="7">
        <f t="shared" si="0"/>
        <v>4.1666666666666664E-2</v>
      </c>
      <c r="D9" s="8">
        <f>C9*Controls!$B$7</f>
        <v>354.16666666666663</v>
      </c>
      <c r="E9" s="6">
        <f t="shared" si="1"/>
        <v>354</v>
      </c>
      <c r="F9" s="9">
        <f t="shared" si="2"/>
        <v>0.16666666666662877</v>
      </c>
      <c r="G9" s="6">
        <f>COUNTIF($F$2:$F$12,"&gt;"&amp;F9)+COUNTIF($F$2:F9,F9)</f>
        <v>10</v>
      </c>
      <c r="H9" s="6">
        <f>IF(G9&lt;=Controls!$B$11,1,0)</f>
        <v>0</v>
      </c>
      <c r="I9" s="6">
        <f t="shared" si="3"/>
        <v>354</v>
      </c>
      <c r="J9" s="6">
        <f>ROUNDUP(I9/Controls!$B$8,0)</f>
        <v>8</v>
      </c>
    </row>
    <row r="10" spans="1:12" x14ac:dyDescent="0.2">
      <c r="A10" t="s">
        <v>40</v>
      </c>
      <c r="B10" s="6">
        <v>6</v>
      </c>
      <c r="C10" s="7">
        <f t="shared" si="0"/>
        <v>3.5714285714285712E-2</v>
      </c>
      <c r="D10" s="8">
        <f>C10*Controls!$B$7</f>
        <v>303.57142857142856</v>
      </c>
      <c r="E10" s="6">
        <f t="shared" si="1"/>
        <v>303</v>
      </c>
      <c r="F10" s="9">
        <f t="shared" si="2"/>
        <v>0.57142857142855519</v>
      </c>
      <c r="G10" s="6">
        <f>COUNTIF($F$2:$F$12,"&gt;"&amp;F10)+COUNTIF($F$2:F10,F10)</f>
        <v>6</v>
      </c>
      <c r="H10" s="6">
        <f>IF(G10&lt;=Controls!$B$11,1,0)</f>
        <v>1</v>
      </c>
      <c r="I10" s="6">
        <f t="shared" si="3"/>
        <v>304</v>
      </c>
      <c r="J10" s="6">
        <f>ROUNDUP(I10/Controls!$B$8,0)</f>
        <v>7</v>
      </c>
    </row>
    <row r="11" spans="1:12" x14ac:dyDescent="0.2">
      <c r="A11" t="s">
        <v>41</v>
      </c>
      <c r="B11" s="6">
        <v>4</v>
      </c>
      <c r="C11" s="7">
        <f t="shared" si="0"/>
        <v>2.3809523809523808E-2</v>
      </c>
      <c r="D11" s="8">
        <f>C11*Controls!$B$7</f>
        <v>202.38095238095238</v>
      </c>
      <c r="E11" s="6">
        <f t="shared" si="1"/>
        <v>202</v>
      </c>
      <c r="F11" s="9">
        <f t="shared" si="2"/>
        <v>0.3809523809523796</v>
      </c>
      <c r="G11" s="6">
        <f>COUNTIF($F$2:$F$12,"&gt;"&amp;F11)+COUNTIF($F$2:F11,F11)</f>
        <v>8</v>
      </c>
      <c r="H11" s="6">
        <f>IF(G11&lt;=Controls!$B$11,1,0)</f>
        <v>0</v>
      </c>
      <c r="I11" s="6">
        <f t="shared" si="3"/>
        <v>202</v>
      </c>
      <c r="J11" s="6">
        <f>ROUNDUP(I11/Controls!$B$8,0)</f>
        <v>5</v>
      </c>
    </row>
    <row r="12" spans="1:12" x14ac:dyDescent="0.2">
      <c r="A12" t="s">
        <v>42</v>
      </c>
      <c r="B12" s="6">
        <v>3</v>
      </c>
      <c r="C12" s="7">
        <f t="shared" si="0"/>
        <v>1.7857142857142856E-2</v>
      </c>
      <c r="D12" s="8">
        <f>C12*Controls!$B$7</f>
        <v>151.78571428571428</v>
      </c>
      <c r="E12" s="6">
        <f t="shared" si="1"/>
        <v>151</v>
      </c>
      <c r="F12" s="9">
        <f t="shared" si="2"/>
        <v>0.78571428571427759</v>
      </c>
      <c r="G12" s="6">
        <f>COUNTIF($F$2:$F$12,"&gt;"&amp;F12)+COUNTIF($F$2:F12,F12)</f>
        <v>3</v>
      </c>
      <c r="H12" s="6">
        <f>IF(G12&lt;=Controls!$B$11,1,0)</f>
        <v>1</v>
      </c>
      <c r="I12" s="6">
        <f t="shared" si="3"/>
        <v>152</v>
      </c>
      <c r="J12" s="6">
        <f>ROUNDUP(I12/Controls!$B$8,0)</f>
        <v>4</v>
      </c>
    </row>
    <row r="13" spans="1:12" x14ac:dyDescent="0.2">
      <c r="A13" s="12" t="s">
        <v>43</v>
      </c>
      <c r="B13" s="13">
        <f>SUM(B2:B12)</f>
        <v>168</v>
      </c>
      <c r="C13" s="14">
        <f>SUM(C2:C12)</f>
        <v>1</v>
      </c>
      <c r="D13" s="15">
        <f>SUM(D2:D12)</f>
        <v>8500</v>
      </c>
      <c r="E13" s="13">
        <f>SUM(E2:E12)</f>
        <v>8494</v>
      </c>
      <c r="F13" s="16"/>
      <c r="G13" s="13"/>
      <c r="H13" s="13">
        <f>SUM(H2:H12)</f>
        <v>6</v>
      </c>
      <c r="I13" s="13">
        <f>SUM(I2:I12)</f>
        <v>8500</v>
      </c>
      <c r="J13" s="13">
        <f>SUM(J2:J12)</f>
        <v>179</v>
      </c>
    </row>
  </sheetData>
  <autoFilter ref="A1:J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0"/>
  <sheetViews>
    <sheetView workbookViewId="0">
      <pane ySplit="1" topLeftCell="A180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8" customWidth="1"/>
    <col min="3" max="3" width="12" customWidth="1"/>
    <col min="4" max="4" width="8" customWidth="1"/>
    <col min="5" max="5" width="12" customWidth="1"/>
    <col min="6" max="6" width="16" customWidth="1"/>
    <col min="7" max="7" width="14" customWidth="1"/>
    <col min="8" max="8" width="12" customWidth="1"/>
    <col min="9" max="9" width="10" customWidth="1"/>
    <col min="10" max="10" width="14" customWidth="1"/>
    <col min="11" max="11" width="18" customWidth="1"/>
    <col min="12" max="12" width="14" customWidth="1"/>
    <col min="13" max="13" width="12" customWidth="1"/>
    <col min="15" max="15" width="36" customWidth="1"/>
  </cols>
  <sheetData>
    <row r="1" spans="1:15" x14ac:dyDescent="0.2">
      <c r="A1" s="3" t="s">
        <v>20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24</v>
      </c>
      <c r="I1" s="3" t="s">
        <v>25</v>
      </c>
      <c r="J1" s="3" t="s">
        <v>26</v>
      </c>
      <c r="K1" s="3" t="s">
        <v>50</v>
      </c>
      <c r="L1" s="3" t="s">
        <v>51</v>
      </c>
      <c r="M1" s="3" t="s">
        <v>29</v>
      </c>
    </row>
    <row r="2" spans="1:15" x14ac:dyDescent="0.2">
      <c r="A2" t="s">
        <v>38</v>
      </c>
      <c r="B2" t="s">
        <v>52</v>
      </c>
      <c r="C2" t="s">
        <v>53</v>
      </c>
      <c r="D2" s="17">
        <v>1</v>
      </c>
      <c r="E2" s="6">
        <f>INDEX(Country_Zones!$I$2:$I$12,MATCH(A2,Country_Zones!$A$2:$A$12,0))</f>
        <v>405</v>
      </c>
      <c r="F2" s="17">
        <f t="shared" ref="F2:F33" si="0">SUMIF($A$2:$A$169,A2,$D$2:$D$169)</f>
        <v>11</v>
      </c>
      <c r="G2" s="17">
        <f t="shared" ref="G2:G33" si="1">E2*(D2/F2)</f>
        <v>36.81818181818182</v>
      </c>
      <c r="H2" s="6">
        <f t="shared" ref="H2:H33" si="2">INT(G2)</f>
        <v>36</v>
      </c>
      <c r="I2" s="9">
        <f t="shared" ref="I2:I33" si="3">G2-H2</f>
        <v>0.81818181818182012</v>
      </c>
      <c r="J2" s="6">
        <f>COUNTIFS($A$2:$A$169,A2,$I$2:$I$169,"&gt;"&amp;I2)+COUNTIFS($A$2:A2,A2,$I$2:I2,I2)</f>
        <v>1</v>
      </c>
      <c r="K2" s="6">
        <f t="shared" ref="K2:K33" si="4">E2-SUMIF($A$2:$A$169,A2,$H$2:$H$169)</f>
        <v>4</v>
      </c>
      <c r="L2" s="6">
        <f t="shared" ref="L2:L33" si="5">H2+IF(J2&lt;=K2,1,0)</f>
        <v>37</v>
      </c>
      <c r="M2" s="6">
        <f>ROUNDUP(L2/Controls!$B$8,0)</f>
        <v>1</v>
      </c>
      <c r="O2" s="10" t="s">
        <v>54</v>
      </c>
    </row>
    <row r="3" spans="1:15" ht="16" x14ac:dyDescent="0.2">
      <c r="A3" t="s">
        <v>38</v>
      </c>
      <c r="B3" t="s">
        <v>55</v>
      </c>
      <c r="C3" t="s">
        <v>56</v>
      </c>
      <c r="D3" s="17">
        <v>1.5</v>
      </c>
      <c r="E3" s="6">
        <f>INDEX(Country_Zones!$I$2:$I$12,MATCH(A3,Country_Zones!$A$2:$A$12,0))</f>
        <v>405</v>
      </c>
      <c r="F3" s="17">
        <f t="shared" si="0"/>
        <v>11</v>
      </c>
      <c r="G3" s="17">
        <f t="shared" si="1"/>
        <v>55.227272727272727</v>
      </c>
      <c r="H3" s="6">
        <f t="shared" si="2"/>
        <v>55</v>
      </c>
      <c r="I3" s="9">
        <f t="shared" si="3"/>
        <v>0.22727272727272663</v>
      </c>
      <c r="J3" s="6">
        <f>COUNTIFS($A$2:$A$169,A3,$I$2:$I$169,"&gt;"&amp;I3)+COUNTIFS($A$2:A3,A3,$I$2:I3,I3)</f>
        <v>5</v>
      </c>
      <c r="K3" s="6">
        <f t="shared" si="4"/>
        <v>4</v>
      </c>
      <c r="L3" s="6">
        <f t="shared" si="5"/>
        <v>55</v>
      </c>
      <c r="M3" s="6">
        <f>ROUNDUP(L3/Controls!$B$8,0)</f>
        <v>2</v>
      </c>
      <c r="O3" s="11" t="s">
        <v>57</v>
      </c>
    </row>
    <row r="4" spans="1:15" ht="16" x14ac:dyDescent="0.2">
      <c r="A4" t="s">
        <v>38</v>
      </c>
      <c r="B4" t="s">
        <v>58</v>
      </c>
      <c r="C4" t="s">
        <v>56</v>
      </c>
      <c r="D4" s="17">
        <v>1.5</v>
      </c>
      <c r="E4" s="6">
        <f>INDEX(Country_Zones!$I$2:$I$12,MATCH(A4,Country_Zones!$A$2:$A$12,0))</f>
        <v>405</v>
      </c>
      <c r="F4" s="17">
        <f t="shared" si="0"/>
        <v>11</v>
      </c>
      <c r="G4" s="17">
        <f t="shared" si="1"/>
        <v>55.227272727272727</v>
      </c>
      <c r="H4" s="6">
        <f t="shared" si="2"/>
        <v>55</v>
      </c>
      <c r="I4" s="9">
        <f t="shared" si="3"/>
        <v>0.22727272727272663</v>
      </c>
      <c r="J4" s="6">
        <f>COUNTIFS($A$2:$A$169,A4,$I$2:$I$169,"&gt;"&amp;I4)+COUNTIFS($A$2:A4,A4,$I$2:I4,I4)</f>
        <v>6</v>
      </c>
      <c r="K4" s="6">
        <f t="shared" si="4"/>
        <v>4</v>
      </c>
      <c r="L4" s="6">
        <f t="shared" si="5"/>
        <v>55</v>
      </c>
      <c r="M4" s="6">
        <f>ROUNDUP(L4/Controls!$B$8,0)</f>
        <v>2</v>
      </c>
      <c r="O4" s="11" t="s">
        <v>59</v>
      </c>
    </row>
    <row r="5" spans="1:15" ht="16" x14ac:dyDescent="0.2">
      <c r="A5" t="s">
        <v>38</v>
      </c>
      <c r="B5" t="s">
        <v>60</v>
      </c>
      <c r="C5" t="s">
        <v>53</v>
      </c>
      <c r="D5" s="17">
        <v>1</v>
      </c>
      <c r="E5" s="6">
        <f>INDEX(Country_Zones!$I$2:$I$12,MATCH(A5,Country_Zones!$A$2:$A$12,0))</f>
        <v>405</v>
      </c>
      <c r="F5" s="17">
        <f t="shared" si="0"/>
        <v>11</v>
      </c>
      <c r="G5" s="17">
        <f t="shared" si="1"/>
        <v>36.81818181818182</v>
      </c>
      <c r="H5" s="6">
        <f t="shared" si="2"/>
        <v>36</v>
      </c>
      <c r="I5" s="9">
        <f t="shared" si="3"/>
        <v>0.81818181818182012</v>
      </c>
      <c r="J5" s="6">
        <f>COUNTIFS($A$2:$A$169,A5,$I$2:$I$169,"&gt;"&amp;I5)+COUNTIFS($A$2:A5,A5,$I$2:I5,I5)</f>
        <v>2</v>
      </c>
      <c r="K5" s="6">
        <f t="shared" si="4"/>
        <v>4</v>
      </c>
      <c r="L5" s="6">
        <f t="shared" si="5"/>
        <v>37</v>
      </c>
      <c r="M5" s="6">
        <f>ROUNDUP(L5/Controls!$B$8,0)</f>
        <v>1</v>
      </c>
      <c r="O5" s="11" t="s">
        <v>61</v>
      </c>
    </row>
    <row r="6" spans="1:15" x14ac:dyDescent="0.2">
      <c r="A6" t="s">
        <v>38</v>
      </c>
      <c r="B6" t="s">
        <v>62</v>
      </c>
      <c r="C6" t="s">
        <v>56</v>
      </c>
      <c r="D6" s="17">
        <v>1.5</v>
      </c>
      <c r="E6" s="6">
        <f>INDEX(Country_Zones!$I$2:$I$12,MATCH(A6,Country_Zones!$A$2:$A$12,0))</f>
        <v>405</v>
      </c>
      <c r="F6" s="17">
        <f t="shared" si="0"/>
        <v>11</v>
      </c>
      <c r="G6" s="17">
        <f t="shared" si="1"/>
        <v>55.227272727272727</v>
      </c>
      <c r="H6" s="6">
        <f t="shared" si="2"/>
        <v>55</v>
      </c>
      <c r="I6" s="9">
        <f t="shared" si="3"/>
        <v>0.22727272727272663</v>
      </c>
      <c r="J6" s="6">
        <f>COUNTIFS($A$2:$A$169,A6,$I$2:$I$169,"&gt;"&amp;I6)+COUNTIFS($A$2:A6,A6,$I$2:I6,I6)</f>
        <v>7</v>
      </c>
      <c r="K6" s="6">
        <f t="shared" si="4"/>
        <v>4</v>
      </c>
      <c r="L6" s="6">
        <f t="shared" si="5"/>
        <v>55</v>
      </c>
      <c r="M6" s="6">
        <f>ROUNDUP(L6/Controls!$B$8,0)</f>
        <v>2</v>
      </c>
    </row>
    <row r="7" spans="1:15" x14ac:dyDescent="0.2">
      <c r="A7" t="s">
        <v>38</v>
      </c>
      <c r="B7" t="s">
        <v>63</v>
      </c>
      <c r="C7" t="s">
        <v>56</v>
      </c>
      <c r="D7" s="17">
        <v>1.5</v>
      </c>
      <c r="E7" s="6">
        <f>INDEX(Country_Zones!$I$2:$I$12,MATCH(A7,Country_Zones!$A$2:$A$12,0))</f>
        <v>405</v>
      </c>
      <c r="F7" s="17">
        <f t="shared" si="0"/>
        <v>11</v>
      </c>
      <c r="G7" s="17">
        <f t="shared" si="1"/>
        <v>55.227272727272727</v>
      </c>
      <c r="H7" s="6">
        <f t="shared" si="2"/>
        <v>55</v>
      </c>
      <c r="I7" s="9">
        <f t="shared" si="3"/>
        <v>0.22727272727272663</v>
      </c>
      <c r="J7" s="6">
        <f>COUNTIFS($A$2:$A$169,A7,$I$2:$I$169,"&gt;"&amp;I7)+COUNTIFS($A$2:A7,A7,$I$2:I7,I7)</f>
        <v>8</v>
      </c>
      <c r="K7" s="6">
        <f t="shared" si="4"/>
        <v>4</v>
      </c>
      <c r="L7" s="6">
        <f t="shared" si="5"/>
        <v>55</v>
      </c>
      <c r="M7" s="6">
        <f>ROUNDUP(L7/Controls!$B$8,0)</f>
        <v>2</v>
      </c>
    </row>
    <row r="8" spans="1:15" x14ac:dyDescent="0.2">
      <c r="A8" t="s">
        <v>38</v>
      </c>
      <c r="B8" t="s">
        <v>64</v>
      </c>
      <c r="C8" t="s">
        <v>53</v>
      </c>
      <c r="D8" s="17">
        <v>1</v>
      </c>
      <c r="E8" s="6">
        <f>INDEX(Country_Zones!$I$2:$I$12,MATCH(A8,Country_Zones!$A$2:$A$12,0))</f>
        <v>405</v>
      </c>
      <c r="F8" s="17">
        <f t="shared" si="0"/>
        <v>11</v>
      </c>
      <c r="G8" s="17">
        <f t="shared" si="1"/>
        <v>36.81818181818182</v>
      </c>
      <c r="H8" s="6">
        <f t="shared" si="2"/>
        <v>36</v>
      </c>
      <c r="I8" s="9">
        <f t="shared" si="3"/>
        <v>0.81818181818182012</v>
      </c>
      <c r="J8" s="6">
        <f>COUNTIFS($A$2:$A$169,A8,$I$2:$I$169,"&gt;"&amp;I8)+COUNTIFS($A$2:A8,A8,$I$2:I8,I8)</f>
        <v>3</v>
      </c>
      <c r="K8" s="6">
        <f t="shared" si="4"/>
        <v>4</v>
      </c>
      <c r="L8" s="6">
        <f t="shared" si="5"/>
        <v>37</v>
      </c>
      <c r="M8" s="6">
        <f>ROUNDUP(L8/Controls!$B$8,0)</f>
        <v>1</v>
      </c>
    </row>
    <row r="9" spans="1:15" x14ac:dyDescent="0.2">
      <c r="A9" t="s">
        <v>38</v>
      </c>
      <c r="B9" t="s">
        <v>65</v>
      </c>
      <c r="C9" t="s">
        <v>66</v>
      </c>
      <c r="D9" s="17">
        <v>2</v>
      </c>
      <c r="E9" s="6">
        <f>INDEX(Country_Zones!$I$2:$I$12,MATCH(A9,Country_Zones!$A$2:$A$12,0))</f>
        <v>405</v>
      </c>
      <c r="F9" s="17">
        <f t="shared" si="0"/>
        <v>11</v>
      </c>
      <c r="G9" s="17">
        <f t="shared" si="1"/>
        <v>73.63636363636364</v>
      </c>
      <c r="H9" s="6">
        <f t="shared" si="2"/>
        <v>73</v>
      </c>
      <c r="I9" s="9">
        <f t="shared" si="3"/>
        <v>0.63636363636364024</v>
      </c>
      <c r="J9" s="6">
        <f>COUNTIFS($A$2:$A$169,A9,$I$2:$I$169,"&gt;"&amp;I9)+COUNTIFS($A$2:A9,A9,$I$2:I9,I9)</f>
        <v>4</v>
      </c>
      <c r="K9" s="6">
        <f t="shared" si="4"/>
        <v>4</v>
      </c>
      <c r="L9" s="6">
        <f t="shared" si="5"/>
        <v>74</v>
      </c>
      <c r="M9" s="6">
        <f>ROUNDUP(L9/Controls!$B$8,0)</f>
        <v>2</v>
      </c>
    </row>
    <row r="10" spans="1:15" x14ac:dyDescent="0.2">
      <c r="A10" t="s">
        <v>40</v>
      </c>
      <c r="B10" t="s">
        <v>67</v>
      </c>
      <c r="C10" t="s">
        <v>56</v>
      </c>
      <c r="D10" s="17">
        <v>1.5</v>
      </c>
      <c r="E10" s="6">
        <f>INDEX(Country_Zones!$I$2:$I$12,MATCH(A10,Country_Zones!$A$2:$A$12,0))</f>
        <v>304</v>
      </c>
      <c r="F10" s="17">
        <f t="shared" si="0"/>
        <v>8.5</v>
      </c>
      <c r="G10" s="17">
        <f t="shared" si="1"/>
        <v>53.647058823529413</v>
      </c>
      <c r="H10" s="6">
        <f t="shared" si="2"/>
        <v>53</v>
      </c>
      <c r="I10" s="9">
        <f t="shared" si="3"/>
        <v>0.64705882352941302</v>
      </c>
      <c r="J10" s="6">
        <f>COUNTIFS($A$2:$A$169,A10,$I$2:$I$169,"&gt;"&amp;I10)+COUNTIFS($A$2:A10,A10,$I$2:I10,I10)</f>
        <v>3</v>
      </c>
      <c r="K10" s="6">
        <f t="shared" si="4"/>
        <v>4</v>
      </c>
      <c r="L10" s="6">
        <f t="shared" si="5"/>
        <v>54</v>
      </c>
      <c r="M10" s="6">
        <f>ROUNDUP(L10/Controls!$B$8,0)</f>
        <v>2</v>
      </c>
    </row>
    <row r="11" spans="1:15" x14ac:dyDescent="0.2">
      <c r="A11" t="s">
        <v>40</v>
      </c>
      <c r="B11" t="s">
        <v>68</v>
      </c>
      <c r="C11" t="s">
        <v>53</v>
      </c>
      <c r="D11" s="17">
        <v>1</v>
      </c>
      <c r="E11" s="6">
        <f>INDEX(Country_Zones!$I$2:$I$12,MATCH(A11,Country_Zones!$A$2:$A$12,0))</f>
        <v>304</v>
      </c>
      <c r="F11" s="17">
        <f t="shared" si="0"/>
        <v>8.5</v>
      </c>
      <c r="G11" s="17">
        <f t="shared" si="1"/>
        <v>35.764705882352942</v>
      </c>
      <c r="H11" s="6">
        <f t="shared" si="2"/>
        <v>35</v>
      </c>
      <c r="I11" s="9">
        <f t="shared" si="3"/>
        <v>0.76470588235294201</v>
      </c>
      <c r="J11" s="6">
        <f>COUNTIFS($A$2:$A$169,A11,$I$2:$I$169,"&gt;"&amp;I11)+COUNTIFS($A$2:A11,A11,$I$2:I11,I11)</f>
        <v>1</v>
      </c>
      <c r="K11" s="6">
        <f t="shared" si="4"/>
        <v>4</v>
      </c>
      <c r="L11" s="6">
        <f t="shared" si="5"/>
        <v>36</v>
      </c>
      <c r="M11" s="6">
        <f>ROUNDUP(L11/Controls!$B$8,0)</f>
        <v>1</v>
      </c>
    </row>
    <row r="12" spans="1:15" x14ac:dyDescent="0.2">
      <c r="A12" t="s">
        <v>40</v>
      </c>
      <c r="B12" t="s">
        <v>69</v>
      </c>
      <c r="C12" t="s">
        <v>66</v>
      </c>
      <c r="D12" s="17">
        <v>2</v>
      </c>
      <c r="E12" s="6">
        <f>INDEX(Country_Zones!$I$2:$I$12,MATCH(A12,Country_Zones!$A$2:$A$12,0))</f>
        <v>304</v>
      </c>
      <c r="F12" s="17">
        <f t="shared" si="0"/>
        <v>8.5</v>
      </c>
      <c r="G12" s="17">
        <f t="shared" si="1"/>
        <v>71.529411764705884</v>
      </c>
      <c r="H12" s="6">
        <f t="shared" si="2"/>
        <v>71</v>
      </c>
      <c r="I12" s="9">
        <f t="shared" si="3"/>
        <v>0.52941176470588402</v>
      </c>
      <c r="J12" s="6">
        <f>COUNTIFS($A$2:$A$169,A12,$I$2:$I$169,"&gt;"&amp;I12)+COUNTIFS($A$2:A12,A12,$I$2:I12,I12)</f>
        <v>6</v>
      </c>
      <c r="K12" s="6">
        <f t="shared" si="4"/>
        <v>4</v>
      </c>
      <c r="L12" s="6">
        <f t="shared" si="5"/>
        <v>71</v>
      </c>
      <c r="M12" s="6">
        <f>ROUNDUP(L12/Controls!$B$8,0)</f>
        <v>2</v>
      </c>
    </row>
    <row r="13" spans="1:15" x14ac:dyDescent="0.2">
      <c r="A13" t="s">
        <v>40</v>
      </c>
      <c r="B13" t="s">
        <v>70</v>
      </c>
      <c r="C13" t="s">
        <v>56</v>
      </c>
      <c r="D13" s="17">
        <v>1.5</v>
      </c>
      <c r="E13" s="6">
        <f>INDEX(Country_Zones!$I$2:$I$12,MATCH(A13,Country_Zones!$A$2:$A$12,0))</f>
        <v>304</v>
      </c>
      <c r="F13" s="17">
        <f t="shared" si="0"/>
        <v>8.5</v>
      </c>
      <c r="G13" s="17">
        <f t="shared" si="1"/>
        <v>53.647058823529413</v>
      </c>
      <c r="H13" s="6">
        <f t="shared" si="2"/>
        <v>53</v>
      </c>
      <c r="I13" s="9">
        <f t="shared" si="3"/>
        <v>0.64705882352941302</v>
      </c>
      <c r="J13" s="6">
        <f>COUNTIFS($A$2:$A$169,A13,$I$2:$I$169,"&gt;"&amp;I13)+COUNTIFS($A$2:A13,A13,$I$2:I13,I13)</f>
        <v>4</v>
      </c>
      <c r="K13" s="6">
        <f t="shared" si="4"/>
        <v>4</v>
      </c>
      <c r="L13" s="6">
        <f t="shared" si="5"/>
        <v>54</v>
      </c>
      <c r="M13" s="6">
        <f>ROUNDUP(L13/Controls!$B$8,0)</f>
        <v>2</v>
      </c>
    </row>
    <row r="14" spans="1:15" x14ac:dyDescent="0.2">
      <c r="A14" t="s">
        <v>40</v>
      </c>
      <c r="B14" t="s">
        <v>71</v>
      </c>
      <c r="C14" t="s">
        <v>53</v>
      </c>
      <c r="D14" s="17">
        <v>1</v>
      </c>
      <c r="E14" s="6">
        <f>INDEX(Country_Zones!$I$2:$I$12,MATCH(A14,Country_Zones!$A$2:$A$12,0))</f>
        <v>304</v>
      </c>
      <c r="F14" s="17">
        <f t="shared" si="0"/>
        <v>8.5</v>
      </c>
      <c r="G14" s="17">
        <f t="shared" si="1"/>
        <v>35.764705882352942</v>
      </c>
      <c r="H14" s="6">
        <f t="shared" si="2"/>
        <v>35</v>
      </c>
      <c r="I14" s="9">
        <f t="shared" si="3"/>
        <v>0.76470588235294201</v>
      </c>
      <c r="J14" s="6">
        <f>COUNTIFS($A$2:$A$169,A14,$I$2:$I$169,"&gt;"&amp;I14)+COUNTIFS($A$2:A14,A14,$I$2:I14,I14)</f>
        <v>2</v>
      </c>
      <c r="K14" s="6">
        <f t="shared" si="4"/>
        <v>4</v>
      </c>
      <c r="L14" s="6">
        <f t="shared" si="5"/>
        <v>36</v>
      </c>
      <c r="M14" s="6">
        <f>ROUNDUP(L14/Controls!$B$8,0)</f>
        <v>1</v>
      </c>
    </row>
    <row r="15" spans="1:15" x14ac:dyDescent="0.2">
      <c r="A15" t="s">
        <v>40</v>
      </c>
      <c r="B15" t="s">
        <v>72</v>
      </c>
      <c r="C15" t="s">
        <v>56</v>
      </c>
      <c r="D15" s="17">
        <v>1.5</v>
      </c>
      <c r="E15" s="6">
        <f>INDEX(Country_Zones!$I$2:$I$12,MATCH(A15,Country_Zones!$A$2:$A$12,0))</f>
        <v>304</v>
      </c>
      <c r="F15" s="17">
        <f t="shared" si="0"/>
        <v>8.5</v>
      </c>
      <c r="G15" s="17">
        <f t="shared" si="1"/>
        <v>53.647058823529413</v>
      </c>
      <c r="H15" s="6">
        <f t="shared" si="2"/>
        <v>53</v>
      </c>
      <c r="I15" s="9">
        <f t="shared" si="3"/>
        <v>0.64705882352941302</v>
      </c>
      <c r="J15" s="6">
        <f>COUNTIFS($A$2:$A$169,A15,$I$2:$I$169,"&gt;"&amp;I15)+COUNTIFS($A$2:A15,A15,$I$2:I15,I15)</f>
        <v>5</v>
      </c>
      <c r="K15" s="6">
        <f t="shared" si="4"/>
        <v>4</v>
      </c>
      <c r="L15" s="6">
        <f t="shared" si="5"/>
        <v>53</v>
      </c>
      <c r="M15" s="6">
        <f>ROUNDUP(L15/Controls!$B$8,0)</f>
        <v>2</v>
      </c>
    </row>
    <row r="16" spans="1:15" x14ac:dyDescent="0.2">
      <c r="A16" t="s">
        <v>39</v>
      </c>
      <c r="B16" t="s">
        <v>73</v>
      </c>
      <c r="C16" t="s">
        <v>53</v>
      </c>
      <c r="D16" s="17">
        <v>1</v>
      </c>
      <c r="E16" s="6">
        <f>INDEX(Country_Zones!$I$2:$I$12,MATCH(A16,Country_Zones!$A$2:$A$12,0))</f>
        <v>354</v>
      </c>
      <c r="F16" s="17">
        <f t="shared" si="0"/>
        <v>9.5</v>
      </c>
      <c r="G16" s="17">
        <f t="shared" si="1"/>
        <v>37.263157894736842</v>
      </c>
      <c r="H16" s="6">
        <f t="shared" si="2"/>
        <v>37</v>
      </c>
      <c r="I16" s="9">
        <f t="shared" si="3"/>
        <v>0.26315789473684248</v>
      </c>
      <c r="J16" s="6">
        <f>COUNTIFS($A$2:$A$169,A16,$I$2:$I$169,"&gt;"&amp;I16)+COUNTIFS($A$2:A16,A16,$I$2:I16,I16)</f>
        <v>6</v>
      </c>
      <c r="K16" s="6">
        <f t="shared" si="4"/>
        <v>4</v>
      </c>
      <c r="L16" s="6">
        <f t="shared" si="5"/>
        <v>37</v>
      </c>
      <c r="M16" s="6">
        <f>ROUNDUP(L16/Controls!$B$8,0)</f>
        <v>1</v>
      </c>
    </row>
    <row r="17" spans="1:13" x14ac:dyDescent="0.2">
      <c r="A17" t="s">
        <v>39</v>
      </c>
      <c r="B17" t="s">
        <v>74</v>
      </c>
      <c r="C17" t="s">
        <v>56</v>
      </c>
      <c r="D17" s="17">
        <v>1.5</v>
      </c>
      <c r="E17" s="6">
        <f>INDEX(Country_Zones!$I$2:$I$12,MATCH(A17,Country_Zones!$A$2:$A$12,0))</f>
        <v>354</v>
      </c>
      <c r="F17" s="17">
        <f t="shared" si="0"/>
        <v>9.5</v>
      </c>
      <c r="G17" s="17">
        <f t="shared" si="1"/>
        <v>55.89473684210526</v>
      </c>
      <c r="H17" s="6">
        <f t="shared" si="2"/>
        <v>55</v>
      </c>
      <c r="I17" s="9">
        <f t="shared" si="3"/>
        <v>0.89473684210526017</v>
      </c>
      <c r="J17" s="6">
        <f>COUNTIFS($A$2:$A$169,A17,$I$2:$I$169,"&gt;"&amp;I17)+COUNTIFS($A$2:A17,A17,$I$2:I17,I17)</f>
        <v>1</v>
      </c>
      <c r="K17" s="6">
        <f t="shared" si="4"/>
        <v>4</v>
      </c>
      <c r="L17" s="6">
        <f t="shared" si="5"/>
        <v>56</v>
      </c>
      <c r="M17" s="6">
        <f>ROUNDUP(L17/Controls!$B$8,0)</f>
        <v>2</v>
      </c>
    </row>
    <row r="18" spans="1:13" x14ac:dyDescent="0.2">
      <c r="A18" t="s">
        <v>39</v>
      </c>
      <c r="B18" t="s">
        <v>75</v>
      </c>
      <c r="C18" t="s">
        <v>56</v>
      </c>
      <c r="D18" s="17">
        <v>1.25</v>
      </c>
      <c r="E18" s="6">
        <f>INDEX(Country_Zones!$I$2:$I$12,MATCH(A18,Country_Zones!$A$2:$A$12,0))</f>
        <v>354</v>
      </c>
      <c r="F18" s="17">
        <f t="shared" si="0"/>
        <v>9.5</v>
      </c>
      <c r="G18" s="17">
        <f t="shared" si="1"/>
        <v>46.578947368421048</v>
      </c>
      <c r="H18" s="6">
        <f t="shared" si="2"/>
        <v>46</v>
      </c>
      <c r="I18" s="9">
        <f t="shared" si="3"/>
        <v>0.57894736842104777</v>
      </c>
      <c r="J18" s="6">
        <f>COUNTIFS($A$2:$A$169,A18,$I$2:$I$169,"&gt;"&amp;I18)+COUNTIFS($A$2:A18,A18,$I$2:I18,I18)</f>
        <v>3</v>
      </c>
      <c r="K18" s="6">
        <f t="shared" si="4"/>
        <v>4</v>
      </c>
      <c r="L18" s="6">
        <f t="shared" si="5"/>
        <v>47</v>
      </c>
      <c r="M18" s="6">
        <f>ROUNDUP(L18/Controls!$B$8,0)</f>
        <v>1</v>
      </c>
    </row>
    <row r="19" spans="1:13" x14ac:dyDescent="0.2">
      <c r="A19" t="s">
        <v>39</v>
      </c>
      <c r="B19" t="s">
        <v>76</v>
      </c>
      <c r="C19" t="s">
        <v>56</v>
      </c>
      <c r="D19" s="17">
        <v>1.25</v>
      </c>
      <c r="E19" s="6">
        <f>INDEX(Country_Zones!$I$2:$I$12,MATCH(A19,Country_Zones!$A$2:$A$12,0))</f>
        <v>354</v>
      </c>
      <c r="F19" s="17">
        <f t="shared" si="0"/>
        <v>9.5</v>
      </c>
      <c r="G19" s="17">
        <f t="shared" si="1"/>
        <v>46.578947368421048</v>
      </c>
      <c r="H19" s="6">
        <f t="shared" si="2"/>
        <v>46</v>
      </c>
      <c r="I19" s="9">
        <f t="shared" si="3"/>
        <v>0.57894736842104777</v>
      </c>
      <c r="J19" s="6">
        <f>COUNTIFS($A$2:$A$169,A19,$I$2:$I$169,"&gt;"&amp;I19)+COUNTIFS($A$2:A19,A19,$I$2:I19,I19)</f>
        <v>4</v>
      </c>
      <c r="K19" s="6">
        <f t="shared" si="4"/>
        <v>4</v>
      </c>
      <c r="L19" s="6">
        <f t="shared" si="5"/>
        <v>47</v>
      </c>
      <c r="M19" s="6">
        <f>ROUNDUP(L19/Controls!$B$8,0)</f>
        <v>1</v>
      </c>
    </row>
    <row r="20" spans="1:13" x14ac:dyDescent="0.2">
      <c r="A20" t="s">
        <v>39</v>
      </c>
      <c r="B20" t="s">
        <v>77</v>
      </c>
      <c r="C20" t="s">
        <v>56</v>
      </c>
      <c r="D20" s="17">
        <v>1.5</v>
      </c>
      <c r="E20" s="6">
        <f>INDEX(Country_Zones!$I$2:$I$12,MATCH(A20,Country_Zones!$A$2:$A$12,0))</f>
        <v>354</v>
      </c>
      <c r="F20" s="17">
        <f t="shared" si="0"/>
        <v>9.5</v>
      </c>
      <c r="G20" s="17">
        <f t="shared" si="1"/>
        <v>55.89473684210526</v>
      </c>
      <c r="H20" s="6">
        <f t="shared" si="2"/>
        <v>55</v>
      </c>
      <c r="I20" s="9">
        <f t="shared" si="3"/>
        <v>0.89473684210526017</v>
      </c>
      <c r="J20" s="6">
        <f>COUNTIFS($A$2:$A$169,A20,$I$2:$I$169,"&gt;"&amp;I20)+COUNTIFS($A$2:A20,A20,$I$2:I20,I20)</f>
        <v>2</v>
      </c>
      <c r="K20" s="6">
        <f t="shared" si="4"/>
        <v>4</v>
      </c>
      <c r="L20" s="6">
        <f t="shared" si="5"/>
        <v>56</v>
      </c>
      <c r="M20" s="6">
        <f>ROUNDUP(L20/Controls!$B$8,0)</f>
        <v>2</v>
      </c>
    </row>
    <row r="21" spans="1:13" x14ac:dyDescent="0.2">
      <c r="A21" t="s">
        <v>39</v>
      </c>
      <c r="B21" t="s">
        <v>78</v>
      </c>
      <c r="C21" t="s">
        <v>53</v>
      </c>
      <c r="D21" s="17">
        <v>1</v>
      </c>
      <c r="E21" s="6">
        <f>INDEX(Country_Zones!$I$2:$I$12,MATCH(A21,Country_Zones!$A$2:$A$12,0))</f>
        <v>354</v>
      </c>
      <c r="F21" s="17">
        <f t="shared" si="0"/>
        <v>9.5</v>
      </c>
      <c r="G21" s="17">
        <f t="shared" si="1"/>
        <v>37.263157894736842</v>
      </c>
      <c r="H21" s="6">
        <f t="shared" si="2"/>
        <v>37</v>
      </c>
      <c r="I21" s="9">
        <f t="shared" si="3"/>
        <v>0.26315789473684248</v>
      </c>
      <c r="J21" s="6">
        <f>COUNTIFS($A$2:$A$169,A21,$I$2:$I$169,"&gt;"&amp;I21)+COUNTIFS($A$2:A21,A21,$I$2:I21,I21)</f>
        <v>7</v>
      </c>
      <c r="K21" s="6">
        <f t="shared" si="4"/>
        <v>4</v>
      </c>
      <c r="L21" s="6">
        <f t="shared" si="5"/>
        <v>37</v>
      </c>
      <c r="M21" s="6">
        <f>ROUNDUP(L21/Controls!$B$8,0)</f>
        <v>1</v>
      </c>
    </row>
    <row r="22" spans="1:13" x14ac:dyDescent="0.2">
      <c r="A22" t="s">
        <v>39</v>
      </c>
      <c r="B22" t="s">
        <v>79</v>
      </c>
      <c r="C22" t="s">
        <v>66</v>
      </c>
      <c r="D22" s="17">
        <v>2</v>
      </c>
      <c r="E22" s="6">
        <f>INDEX(Country_Zones!$I$2:$I$12,MATCH(A22,Country_Zones!$A$2:$A$12,0))</f>
        <v>354</v>
      </c>
      <c r="F22" s="17">
        <f t="shared" si="0"/>
        <v>9.5</v>
      </c>
      <c r="G22" s="17">
        <f t="shared" si="1"/>
        <v>74.526315789473685</v>
      </c>
      <c r="H22" s="6">
        <f t="shared" si="2"/>
        <v>74</v>
      </c>
      <c r="I22" s="9">
        <f t="shared" si="3"/>
        <v>0.52631578947368496</v>
      </c>
      <c r="J22" s="6">
        <f>COUNTIFS($A$2:$A$169,A22,$I$2:$I$169,"&gt;"&amp;I22)+COUNTIFS($A$2:A22,A22,$I$2:I22,I22)</f>
        <v>5</v>
      </c>
      <c r="K22" s="6">
        <f t="shared" si="4"/>
        <v>4</v>
      </c>
      <c r="L22" s="6">
        <f t="shared" si="5"/>
        <v>74</v>
      </c>
      <c r="M22" s="6">
        <f>ROUNDUP(L22/Controls!$B$8,0)</f>
        <v>2</v>
      </c>
    </row>
    <row r="23" spans="1:13" x14ac:dyDescent="0.2">
      <c r="A23" t="s">
        <v>41</v>
      </c>
      <c r="B23" t="s">
        <v>80</v>
      </c>
      <c r="C23" t="s">
        <v>56</v>
      </c>
      <c r="D23" s="17">
        <v>1.25</v>
      </c>
      <c r="E23" s="6">
        <f>INDEX(Country_Zones!$I$2:$I$12,MATCH(A23,Country_Zones!$A$2:$A$12,0))</f>
        <v>202</v>
      </c>
      <c r="F23" s="17">
        <f t="shared" si="0"/>
        <v>6.25</v>
      </c>
      <c r="G23" s="17">
        <f t="shared" si="1"/>
        <v>40.400000000000006</v>
      </c>
      <c r="H23" s="6">
        <f t="shared" si="2"/>
        <v>40</v>
      </c>
      <c r="I23" s="9">
        <f t="shared" si="3"/>
        <v>0.40000000000000568</v>
      </c>
      <c r="J23" s="6">
        <f>COUNTIFS($A$2:$A$169,A23,$I$2:$I$169,"&gt;"&amp;I23)+COUNTIFS($A$2:A23,A23,$I$2:I23,I23)</f>
        <v>4</v>
      </c>
      <c r="K23" s="6">
        <f t="shared" si="4"/>
        <v>2</v>
      </c>
      <c r="L23" s="6">
        <f t="shared" si="5"/>
        <v>40</v>
      </c>
      <c r="M23" s="6">
        <f>ROUNDUP(L23/Controls!$B$8,0)</f>
        <v>1</v>
      </c>
    </row>
    <row r="24" spans="1:13" x14ac:dyDescent="0.2">
      <c r="A24" t="s">
        <v>41</v>
      </c>
      <c r="B24" t="s">
        <v>81</v>
      </c>
      <c r="C24" t="s">
        <v>56</v>
      </c>
      <c r="D24" s="17">
        <v>1.5</v>
      </c>
      <c r="E24" s="6">
        <f>INDEX(Country_Zones!$I$2:$I$12,MATCH(A24,Country_Zones!$A$2:$A$12,0))</f>
        <v>202</v>
      </c>
      <c r="F24" s="17">
        <f t="shared" si="0"/>
        <v>6.25</v>
      </c>
      <c r="G24" s="17">
        <f t="shared" si="1"/>
        <v>48.48</v>
      </c>
      <c r="H24" s="6">
        <f t="shared" si="2"/>
        <v>48</v>
      </c>
      <c r="I24" s="9">
        <f t="shared" si="3"/>
        <v>0.47999999999999687</v>
      </c>
      <c r="J24" s="6">
        <f>COUNTIFS($A$2:$A$169,A24,$I$2:$I$169,"&gt;"&amp;I24)+COUNTIFS($A$2:A24,A24,$I$2:I24,I24)</f>
        <v>2</v>
      </c>
      <c r="K24" s="6">
        <f t="shared" si="4"/>
        <v>2</v>
      </c>
      <c r="L24" s="6">
        <f t="shared" si="5"/>
        <v>49</v>
      </c>
      <c r="M24" s="6">
        <f>ROUNDUP(L24/Controls!$B$8,0)</f>
        <v>1</v>
      </c>
    </row>
    <row r="25" spans="1:13" x14ac:dyDescent="0.2">
      <c r="A25" t="s">
        <v>41</v>
      </c>
      <c r="B25" t="s">
        <v>82</v>
      </c>
      <c r="C25" t="s">
        <v>56</v>
      </c>
      <c r="D25" s="17">
        <v>1.5</v>
      </c>
      <c r="E25" s="6">
        <f>INDEX(Country_Zones!$I$2:$I$12,MATCH(A25,Country_Zones!$A$2:$A$12,0))</f>
        <v>202</v>
      </c>
      <c r="F25" s="17">
        <f t="shared" si="0"/>
        <v>6.25</v>
      </c>
      <c r="G25" s="17">
        <f t="shared" si="1"/>
        <v>48.48</v>
      </c>
      <c r="H25" s="6">
        <f t="shared" si="2"/>
        <v>48</v>
      </c>
      <c r="I25" s="9">
        <f t="shared" si="3"/>
        <v>0.47999999999999687</v>
      </c>
      <c r="J25" s="6">
        <f>COUNTIFS($A$2:$A$169,A25,$I$2:$I$169,"&gt;"&amp;I25)+COUNTIFS($A$2:A25,A25,$I$2:I25,I25)</f>
        <v>3</v>
      </c>
      <c r="K25" s="6">
        <f t="shared" si="4"/>
        <v>2</v>
      </c>
      <c r="L25" s="6">
        <f t="shared" si="5"/>
        <v>48</v>
      </c>
      <c r="M25" s="6">
        <f>ROUNDUP(L25/Controls!$B$8,0)</f>
        <v>1</v>
      </c>
    </row>
    <row r="26" spans="1:13" x14ac:dyDescent="0.2">
      <c r="A26" t="s">
        <v>41</v>
      </c>
      <c r="B26" t="s">
        <v>83</v>
      </c>
      <c r="C26" t="s">
        <v>66</v>
      </c>
      <c r="D26" s="17">
        <v>2</v>
      </c>
      <c r="E26" s="6">
        <f>INDEX(Country_Zones!$I$2:$I$12,MATCH(A26,Country_Zones!$A$2:$A$12,0))</f>
        <v>202</v>
      </c>
      <c r="F26" s="17">
        <f t="shared" si="0"/>
        <v>6.25</v>
      </c>
      <c r="G26" s="17">
        <f t="shared" si="1"/>
        <v>64.64</v>
      </c>
      <c r="H26" s="6">
        <f t="shared" si="2"/>
        <v>64</v>
      </c>
      <c r="I26" s="9">
        <f t="shared" si="3"/>
        <v>0.64000000000000057</v>
      </c>
      <c r="J26" s="6">
        <f>COUNTIFS($A$2:$A$169,A26,$I$2:$I$169,"&gt;"&amp;I26)+COUNTIFS($A$2:A26,A26,$I$2:I26,I26)</f>
        <v>1</v>
      </c>
      <c r="K26" s="6">
        <f t="shared" si="4"/>
        <v>2</v>
      </c>
      <c r="L26" s="6">
        <f t="shared" si="5"/>
        <v>65</v>
      </c>
      <c r="M26" s="6">
        <f>ROUNDUP(L26/Controls!$B$8,0)</f>
        <v>2</v>
      </c>
    </row>
    <row r="27" spans="1:13" x14ac:dyDescent="0.2">
      <c r="A27" t="s">
        <v>34</v>
      </c>
      <c r="B27" t="s">
        <v>84</v>
      </c>
      <c r="C27" t="s">
        <v>53</v>
      </c>
      <c r="D27" s="17">
        <v>1</v>
      </c>
      <c r="E27" s="6">
        <f>INDEX(Country_Zones!$I$2:$I$12,MATCH(A27,Country_Zones!$A$2:$A$12,0))</f>
        <v>1366</v>
      </c>
      <c r="F27" s="17">
        <f t="shared" si="0"/>
        <v>31.75</v>
      </c>
      <c r="G27" s="17">
        <f t="shared" si="1"/>
        <v>43.023622047244096</v>
      </c>
      <c r="H27" s="6">
        <f t="shared" si="2"/>
        <v>43</v>
      </c>
      <c r="I27" s="9">
        <f t="shared" si="3"/>
        <v>2.3622047244096223E-2</v>
      </c>
      <c r="J27" s="6">
        <f>COUNTIFS($A$2:$A$169,A27,$I$2:$I$169,"&gt;"&amp;I27)+COUNTIFS($A$2:A27,A27,$I$2:I27,I27)</f>
        <v>11</v>
      </c>
      <c r="K27" s="6">
        <f t="shared" si="4"/>
        <v>6</v>
      </c>
      <c r="L27" s="6">
        <f t="shared" si="5"/>
        <v>43</v>
      </c>
      <c r="M27" s="6">
        <f>ROUNDUP(L27/Controls!$B$8,0)</f>
        <v>1</v>
      </c>
    </row>
    <row r="28" spans="1:13" x14ac:dyDescent="0.2">
      <c r="A28" t="s">
        <v>34</v>
      </c>
      <c r="B28" t="s">
        <v>85</v>
      </c>
      <c r="C28" t="s">
        <v>53</v>
      </c>
      <c r="D28" s="17">
        <v>1</v>
      </c>
      <c r="E28" s="6">
        <f>INDEX(Country_Zones!$I$2:$I$12,MATCH(A28,Country_Zones!$A$2:$A$12,0))</f>
        <v>1366</v>
      </c>
      <c r="F28" s="17">
        <f t="shared" si="0"/>
        <v>31.75</v>
      </c>
      <c r="G28" s="17">
        <f t="shared" si="1"/>
        <v>43.023622047244096</v>
      </c>
      <c r="H28" s="6">
        <f t="shared" si="2"/>
        <v>43</v>
      </c>
      <c r="I28" s="9">
        <f t="shared" si="3"/>
        <v>2.3622047244096223E-2</v>
      </c>
      <c r="J28" s="6">
        <f>COUNTIFS($A$2:$A$169,A28,$I$2:$I$169,"&gt;"&amp;I28)+COUNTIFS($A$2:A28,A28,$I$2:I28,I28)</f>
        <v>12</v>
      </c>
      <c r="K28" s="6">
        <f t="shared" si="4"/>
        <v>6</v>
      </c>
      <c r="L28" s="6">
        <f t="shared" si="5"/>
        <v>43</v>
      </c>
      <c r="M28" s="6">
        <f>ROUNDUP(L28/Controls!$B$8,0)</f>
        <v>1</v>
      </c>
    </row>
    <row r="29" spans="1:13" x14ac:dyDescent="0.2">
      <c r="A29" t="s">
        <v>34</v>
      </c>
      <c r="B29" t="s">
        <v>86</v>
      </c>
      <c r="C29" t="s">
        <v>53</v>
      </c>
      <c r="D29" s="17">
        <v>1</v>
      </c>
      <c r="E29" s="6">
        <f>INDEX(Country_Zones!$I$2:$I$12,MATCH(A29,Country_Zones!$A$2:$A$12,0))</f>
        <v>1366</v>
      </c>
      <c r="F29" s="17">
        <f t="shared" si="0"/>
        <v>31.75</v>
      </c>
      <c r="G29" s="17">
        <f t="shared" si="1"/>
        <v>43.023622047244096</v>
      </c>
      <c r="H29" s="6">
        <f t="shared" si="2"/>
        <v>43</v>
      </c>
      <c r="I29" s="9">
        <f t="shared" si="3"/>
        <v>2.3622047244096223E-2</v>
      </c>
      <c r="J29" s="6">
        <f>COUNTIFS($A$2:$A$169,A29,$I$2:$I$169,"&gt;"&amp;I29)+COUNTIFS($A$2:A29,A29,$I$2:I29,I29)</f>
        <v>13</v>
      </c>
      <c r="K29" s="6">
        <f t="shared" si="4"/>
        <v>6</v>
      </c>
      <c r="L29" s="6">
        <f t="shared" si="5"/>
        <v>43</v>
      </c>
      <c r="M29" s="6">
        <f>ROUNDUP(L29/Controls!$B$8,0)</f>
        <v>1</v>
      </c>
    </row>
    <row r="30" spans="1:13" x14ac:dyDescent="0.2">
      <c r="A30" t="s">
        <v>34</v>
      </c>
      <c r="B30" t="s">
        <v>87</v>
      </c>
      <c r="C30" t="s">
        <v>53</v>
      </c>
      <c r="D30" s="17">
        <v>1</v>
      </c>
      <c r="E30" s="6">
        <f>INDEX(Country_Zones!$I$2:$I$12,MATCH(A30,Country_Zones!$A$2:$A$12,0))</f>
        <v>1366</v>
      </c>
      <c r="F30" s="17">
        <f t="shared" si="0"/>
        <v>31.75</v>
      </c>
      <c r="G30" s="17">
        <f t="shared" si="1"/>
        <v>43.023622047244096</v>
      </c>
      <c r="H30" s="6">
        <f t="shared" si="2"/>
        <v>43</v>
      </c>
      <c r="I30" s="9">
        <f t="shared" si="3"/>
        <v>2.3622047244096223E-2</v>
      </c>
      <c r="J30" s="6">
        <f>COUNTIFS($A$2:$A$169,A30,$I$2:$I$169,"&gt;"&amp;I30)+COUNTIFS($A$2:A30,A30,$I$2:I30,I30)</f>
        <v>14</v>
      </c>
      <c r="K30" s="6">
        <f t="shared" si="4"/>
        <v>6</v>
      </c>
      <c r="L30" s="6">
        <f t="shared" si="5"/>
        <v>43</v>
      </c>
      <c r="M30" s="6">
        <f>ROUNDUP(L30/Controls!$B$8,0)</f>
        <v>1</v>
      </c>
    </row>
    <row r="31" spans="1:13" x14ac:dyDescent="0.2">
      <c r="A31" t="s">
        <v>34</v>
      </c>
      <c r="B31" t="s">
        <v>88</v>
      </c>
      <c r="C31" t="s">
        <v>56</v>
      </c>
      <c r="D31" s="17">
        <v>1.5</v>
      </c>
      <c r="E31" s="6">
        <f>INDEX(Country_Zones!$I$2:$I$12,MATCH(A31,Country_Zones!$A$2:$A$12,0))</f>
        <v>1366</v>
      </c>
      <c r="F31" s="17">
        <f t="shared" si="0"/>
        <v>31.75</v>
      </c>
      <c r="G31" s="17">
        <f t="shared" si="1"/>
        <v>64.535433070866148</v>
      </c>
      <c r="H31" s="6">
        <f t="shared" si="2"/>
        <v>64</v>
      </c>
      <c r="I31" s="9">
        <f t="shared" si="3"/>
        <v>0.53543307086614789</v>
      </c>
      <c r="J31" s="6">
        <f>COUNTIFS($A$2:$A$169,A31,$I$2:$I$169,"&gt;"&amp;I31)+COUNTIFS($A$2:A31,A31,$I$2:I31,I31)</f>
        <v>4</v>
      </c>
      <c r="K31" s="6">
        <f t="shared" si="4"/>
        <v>6</v>
      </c>
      <c r="L31" s="6">
        <f t="shared" si="5"/>
        <v>65</v>
      </c>
      <c r="M31" s="6">
        <f>ROUNDUP(L31/Controls!$B$8,0)</f>
        <v>2</v>
      </c>
    </row>
    <row r="32" spans="1:13" x14ac:dyDescent="0.2">
      <c r="A32" t="s">
        <v>34</v>
      </c>
      <c r="B32" t="s">
        <v>89</v>
      </c>
      <c r="C32" t="s">
        <v>53</v>
      </c>
      <c r="D32" s="17">
        <v>1</v>
      </c>
      <c r="E32" s="6">
        <f>INDEX(Country_Zones!$I$2:$I$12,MATCH(A32,Country_Zones!$A$2:$A$12,0))</f>
        <v>1366</v>
      </c>
      <c r="F32" s="17">
        <f t="shared" si="0"/>
        <v>31.75</v>
      </c>
      <c r="G32" s="17">
        <f t="shared" si="1"/>
        <v>43.023622047244096</v>
      </c>
      <c r="H32" s="6">
        <f t="shared" si="2"/>
        <v>43</v>
      </c>
      <c r="I32" s="9">
        <f t="shared" si="3"/>
        <v>2.3622047244096223E-2</v>
      </c>
      <c r="J32" s="6">
        <f>COUNTIFS($A$2:$A$169,A32,$I$2:$I$169,"&gt;"&amp;I32)+COUNTIFS($A$2:A32,A32,$I$2:I32,I32)</f>
        <v>15</v>
      </c>
      <c r="K32" s="6">
        <f t="shared" si="4"/>
        <v>6</v>
      </c>
      <c r="L32" s="6">
        <f t="shared" si="5"/>
        <v>43</v>
      </c>
      <c r="M32" s="6">
        <f>ROUNDUP(L32/Controls!$B$8,0)</f>
        <v>1</v>
      </c>
    </row>
    <row r="33" spans="1:13" x14ac:dyDescent="0.2">
      <c r="A33" t="s">
        <v>34</v>
      </c>
      <c r="B33" t="s">
        <v>90</v>
      </c>
      <c r="C33" t="s">
        <v>53</v>
      </c>
      <c r="D33" s="17">
        <v>1</v>
      </c>
      <c r="E33" s="6">
        <f>INDEX(Country_Zones!$I$2:$I$12,MATCH(A33,Country_Zones!$A$2:$A$12,0))</f>
        <v>1366</v>
      </c>
      <c r="F33" s="17">
        <f t="shared" si="0"/>
        <v>31.75</v>
      </c>
      <c r="G33" s="17">
        <f t="shared" si="1"/>
        <v>43.023622047244096</v>
      </c>
      <c r="H33" s="6">
        <f t="shared" si="2"/>
        <v>43</v>
      </c>
      <c r="I33" s="9">
        <f t="shared" si="3"/>
        <v>2.3622047244096223E-2</v>
      </c>
      <c r="J33" s="6">
        <f>COUNTIFS($A$2:$A$169,A33,$I$2:$I$169,"&gt;"&amp;I33)+COUNTIFS($A$2:A33,A33,$I$2:I33,I33)</f>
        <v>16</v>
      </c>
      <c r="K33" s="6">
        <f t="shared" si="4"/>
        <v>6</v>
      </c>
      <c r="L33" s="6">
        <f t="shared" si="5"/>
        <v>43</v>
      </c>
      <c r="M33" s="6">
        <f>ROUNDUP(L33/Controls!$B$8,0)</f>
        <v>1</v>
      </c>
    </row>
    <row r="34" spans="1:13" x14ac:dyDescent="0.2">
      <c r="A34" t="s">
        <v>34</v>
      </c>
      <c r="B34" t="s">
        <v>91</v>
      </c>
      <c r="C34" t="s">
        <v>53</v>
      </c>
      <c r="D34" s="17">
        <v>1</v>
      </c>
      <c r="E34" s="6">
        <f>INDEX(Country_Zones!$I$2:$I$12,MATCH(A34,Country_Zones!$A$2:$A$12,0))</f>
        <v>1366</v>
      </c>
      <c r="F34" s="17">
        <f t="shared" ref="F34:F65" si="6">SUMIF($A$2:$A$169,A34,$D$2:$D$169)</f>
        <v>31.75</v>
      </c>
      <c r="G34" s="17">
        <f t="shared" ref="G34:G65" si="7">E34*(D34/F34)</f>
        <v>43.023622047244096</v>
      </c>
      <c r="H34" s="6">
        <f t="shared" ref="H34:H65" si="8">INT(G34)</f>
        <v>43</v>
      </c>
      <c r="I34" s="9">
        <f t="shared" ref="I34:I65" si="9">G34-H34</f>
        <v>2.3622047244096223E-2</v>
      </c>
      <c r="J34" s="6">
        <f>COUNTIFS($A$2:$A$169,A34,$I$2:$I$169,"&gt;"&amp;I34)+COUNTIFS($A$2:A34,A34,$I$2:I34,I34)</f>
        <v>17</v>
      </c>
      <c r="K34" s="6">
        <f t="shared" ref="K34:K65" si="10">E34-SUMIF($A$2:$A$169,A34,$H$2:$H$169)</f>
        <v>6</v>
      </c>
      <c r="L34" s="6">
        <f t="shared" ref="L34:L65" si="11">H34+IF(J34&lt;=K34,1,0)</f>
        <v>43</v>
      </c>
      <c r="M34" s="6">
        <f>ROUNDUP(L34/Controls!$B$8,0)</f>
        <v>1</v>
      </c>
    </row>
    <row r="35" spans="1:13" x14ac:dyDescent="0.2">
      <c r="A35" t="s">
        <v>34</v>
      </c>
      <c r="B35" t="s">
        <v>92</v>
      </c>
      <c r="C35" t="s">
        <v>53</v>
      </c>
      <c r="D35" s="17">
        <v>1</v>
      </c>
      <c r="E35" s="6">
        <f>INDEX(Country_Zones!$I$2:$I$12,MATCH(A35,Country_Zones!$A$2:$A$12,0))</f>
        <v>1366</v>
      </c>
      <c r="F35" s="17">
        <f t="shared" si="6"/>
        <v>31.75</v>
      </c>
      <c r="G35" s="17">
        <f t="shared" si="7"/>
        <v>43.023622047244096</v>
      </c>
      <c r="H35" s="6">
        <f t="shared" si="8"/>
        <v>43</v>
      </c>
      <c r="I35" s="9">
        <f t="shared" si="9"/>
        <v>2.3622047244096223E-2</v>
      </c>
      <c r="J35" s="6">
        <f>COUNTIFS($A$2:$A$169,A35,$I$2:$I$169,"&gt;"&amp;I35)+COUNTIFS($A$2:A35,A35,$I$2:I35,I35)</f>
        <v>18</v>
      </c>
      <c r="K35" s="6">
        <f t="shared" si="10"/>
        <v>6</v>
      </c>
      <c r="L35" s="6">
        <f t="shared" si="11"/>
        <v>43</v>
      </c>
      <c r="M35" s="6">
        <f>ROUNDUP(L35/Controls!$B$8,0)</f>
        <v>1</v>
      </c>
    </row>
    <row r="36" spans="1:13" x14ac:dyDescent="0.2">
      <c r="A36" t="s">
        <v>34</v>
      </c>
      <c r="B36" t="s">
        <v>93</v>
      </c>
      <c r="C36" t="s">
        <v>53</v>
      </c>
      <c r="D36" s="17">
        <v>1</v>
      </c>
      <c r="E36" s="6">
        <f>INDEX(Country_Zones!$I$2:$I$12,MATCH(A36,Country_Zones!$A$2:$A$12,0))</f>
        <v>1366</v>
      </c>
      <c r="F36" s="17">
        <f t="shared" si="6"/>
        <v>31.75</v>
      </c>
      <c r="G36" s="17">
        <f t="shared" si="7"/>
        <v>43.023622047244096</v>
      </c>
      <c r="H36" s="6">
        <f t="shared" si="8"/>
        <v>43</v>
      </c>
      <c r="I36" s="9">
        <f t="shared" si="9"/>
        <v>2.3622047244096223E-2</v>
      </c>
      <c r="J36" s="6">
        <f>COUNTIFS($A$2:$A$169,A36,$I$2:$I$169,"&gt;"&amp;I36)+COUNTIFS($A$2:A36,A36,$I$2:I36,I36)</f>
        <v>19</v>
      </c>
      <c r="K36" s="6">
        <f t="shared" si="10"/>
        <v>6</v>
      </c>
      <c r="L36" s="6">
        <f t="shared" si="11"/>
        <v>43</v>
      </c>
      <c r="M36" s="6">
        <f>ROUNDUP(L36/Controls!$B$8,0)</f>
        <v>1</v>
      </c>
    </row>
    <row r="37" spans="1:13" x14ac:dyDescent="0.2">
      <c r="A37" t="s">
        <v>34</v>
      </c>
      <c r="B37" t="s">
        <v>94</v>
      </c>
      <c r="C37" t="s">
        <v>53</v>
      </c>
      <c r="D37" s="17">
        <v>1</v>
      </c>
      <c r="E37" s="6">
        <f>INDEX(Country_Zones!$I$2:$I$12,MATCH(A37,Country_Zones!$A$2:$A$12,0))</f>
        <v>1366</v>
      </c>
      <c r="F37" s="17">
        <f t="shared" si="6"/>
        <v>31.75</v>
      </c>
      <c r="G37" s="17">
        <f t="shared" si="7"/>
        <v>43.023622047244096</v>
      </c>
      <c r="H37" s="6">
        <f t="shared" si="8"/>
        <v>43</v>
      </c>
      <c r="I37" s="9">
        <f t="shared" si="9"/>
        <v>2.3622047244096223E-2</v>
      </c>
      <c r="J37" s="6">
        <f>COUNTIFS($A$2:$A$169,A37,$I$2:$I$169,"&gt;"&amp;I37)+COUNTIFS($A$2:A37,A37,$I$2:I37,I37)</f>
        <v>20</v>
      </c>
      <c r="K37" s="6">
        <f t="shared" si="10"/>
        <v>6</v>
      </c>
      <c r="L37" s="6">
        <f t="shared" si="11"/>
        <v>43</v>
      </c>
      <c r="M37" s="6">
        <f>ROUNDUP(L37/Controls!$B$8,0)</f>
        <v>1</v>
      </c>
    </row>
    <row r="38" spans="1:13" x14ac:dyDescent="0.2">
      <c r="A38" t="s">
        <v>34</v>
      </c>
      <c r="B38" t="s">
        <v>95</v>
      </c>
      <c r="C38" t="s">
        <v>56</v>
      </c>
      <c r="D38" s="17">
        <v>1.5</v>
      </c>
      <c r="E38" s="6">
        <f>INDEX(Country_Zones!$I$2:$I$12,MATCH(A38,Country_Zones!$A$2:$A$12,0))</f>
        <v>1366</v>
      </c>
      <c r="F38" s="17">
        <f t="shared" si="6"/>
        <v>31.75</v>
      </c>
      <c r="G38" s="17">
        <f t="shared" si="7"/>
        <v>64.535433070866148</v>
      </c>
      <c r="H38" s="6">
        <f t="shared" si="8"/>
        <v>64</v>
      </c>
      <c r="I38" s="9">
        <f t="shared" si="9"/>
        <v>0.53543307086614789</v>
      </c>
      <c r="J38" s="6">
        <f>COUNTIFS($A$2:$A$169,A38,$I$2:$I$169,"&gt;"&amp;I38)+COUNTIFS($A$2:A38,A38,$I$2:I38,I38)</f>
        <v>5</v>
      </c>
      <c r="K38" s="6">
        <f t="shared" si="10"/>
        <v>6</v>
      </c>
      <c r="L38" s="6">
        <f t="shared" si="11"/>
        <v>65</v>
      </c>
      <c r="M38" s="6">
        <f>ROUNDUP(L38/Controls!$B$8,0)</f>
        <v>2</v>
      </c>
    </row>
    <row r="39" spans="1:13" x14ac:dyDescent="0.2">
      <c r="A39" t="s">
        <v>34</v>
      </c>
      <c r="B39" t="s">
        <v>96</v>
      </c>
      <c r="C39" t="s">
        <v>56</v>
      </c>
      <c r="D39" s="17">
        <v>1.5</v>
      </c>
      <c r="E39" s="6">
        <f>INDEX(Country_Zones!$I$2:$I$12,MATCH(A39,Country_Zones!$A$2:$A$12,0))</f>
        <v>1366</v>
      </c>
      <c r="F39" s="17">
        <f t="shared" si="6"/>
        <v>31.75</v>
      </c>
      <c r="G39" s="17">
        <f t="shared" si="7"/>
        <v>64.535433070866148</v>
      </c>
      <c r="H39" s="6">
        <f t="shared" si="8"/>
        <v>64</v>
      </c>
      <c r="I39" s="9">
        <f t="shared" si="9"/>
        <v>0.53543307086614789</v>
      </c>
      <c r="J39" s="6">
        <f>COUNTIFS($A$2:$A$169,A39,$I$2:$I$169,"&gt;"&amp;I39)+COUNTIFS($A$2:A39,A39,$I$2:I39,I39)</f>
        <v>6</v>
      </c>
      <c r="K39" s="6">
        <f t="shared" si="10"/>
        <v>6</v>
      </c>
      <c r="L39" s="6">
        <f t="shared" si="11"/>
        <v>65</v>
      </c>
      <c r="M39" s="6">
        <f>ROUNDUP(L39/Controls!$B$8,0)</f>
        <v>2</v>
      </c>
    </row>
    <row r="40" spans="1:13" x14ac:dyDescent="0.2">
      <c r="A40" t="s">
        <v>34</v>
      </c>
      <c r="B40" t="s">
        <v>97</v>
      </c>
      <c r="C40" t="s">
        <v>56</v>
      </c>
      <c r="D40" s="17">
        <v>1.5</v>
      </c>
      <c r="E40" s="6">
        <f>INDEX(Country_Zones!$I$2:$I$12,MATCH(A40,Country_Zones!$A$2:$A$12,0))</f>
        <v>1366</v>
      </c>
      <c r="F40" s="17">
        <f t="shared" si="6"/>
        <v>31.75</v>
      </c>
      <c r="G40" s="17">
        <f t="shared" si="7"/>
        <v>64.535433070866148</v>
      </c>
      <c r="H40" s="6">
        <f t="shared" si="8"/>
        <v>64</v>
      </c>
      <c r="I40" s="9">
        <f t="shared" si="9"/>
        <v>0.53543307086614789</v>
      </c>
      <c r="J40" s="6">
        <f>COUNTIFS($A$2:$A$169,A40,$I$2:$I$169,"&gt;"&amp;I40)+COUNTIFS($A$2:A40,A40,$I$2:I40,I40)</f>
        <v>7</v>
      </c>
      <c r="K40" s="6">
        <f t="shared" si="10"/>
        <v>6</v>
      </c>
      <c r="L40" s="6">
        <f t="shared" si="11"/>
        <v>64</v>
      </c>
      <c r="M40" s="6">
        <f>ROUNDUP(L40/Controls!$B$8,0)</f>
        <v>2</v>
      </c>
    </row>
    <row r="41" spans="1:13" x14ac:dyDescent="0.2">
      <c r="A41" t="s">
        <v>34</v>
      </c>
      <c r="B41" t="s">
        <v>98</v>
      </c>
      <c r="C41" t="s">
        <v>53</v>
      </c>
      <c r="D41" s="17">
        <v>1</v>
      </c>
      <c r="E41" s="6">
        <f>INDEX(Country_Zones!$I$2:$I$12,MATCH(A41,Country_Zones!$A$2:$A$12,0))</f>
        <v>1366</v>
      </c>
      <c r="F41" s="17">
        <f t="shared" si="6"/>
        <v>31.75</v>
      </c>
      <c r="G41" s="17">
        <f t="shared" si="7"/>
        <v>43.023622047244096</v>
      </c>
      <c r="H41" s="6">
        <f t="shared" si="8"/>
        <v>43</v>
      </c>
      <c r="I41" s="9">
        <f t="shared" si="9"/>
        <v>2.3622047244096223E-2</v>
      </c>
      <c r="J41" s="6">
        <f>COUNTIFS($A$2:$A$169,A41,$I$2:$I$169,"&gt;"&amp;I41)+COUNTIFS($A$2:A41,A41,$I$2:I41,I41)</f>
        <v>21</v>
      </c>
      <c r="K41" s="6">
        <f t="shared" si="10"/>
        <v>6</v>
      </c>
      <c r="L41" s="6">
        <f t="shared" si="11"/>
        <v>43</v>
      </c>
      <c r="M41" s="6">
        <f>ROUNDUP(L41/Controls!$B$8,0)</f>
        <v>1</v>
      </c>
    </row>
    <row r="42" spans="1:13" x14ac:dyDescent="0.2">
      <c r="A42" t="s">
        <v>34</v>
      </c>
      <c r="B42" t="s">
        <v>99</v>
      </c>
      <c r="C42" t="s">
        <v>56</v>
      </c>
      <c r="D42" s="17">
        <v>1.25</v>
      </c>
      <c r="E42" s="6">
        <f>INDEX(Country_Zones!$I$2:$I$12,MATCH(A42,Country_Zones!$A$2:$A$12,0))</f>
        <v>1366</v>
      </c>
      <c r="F42" s="17">
        <f t="shared" si="6"/>
        <v>31.75</v>
      </c>
      <c r="G42" s="17">
        <f t="shared" si="7"/>
        <v>53.779527559055119</v>
      </c>
      <c r="H42" s="6">
        <f t="shared" si="8"/>
        <v>53</v>
      </c>
      <c r="I42" s="9">
        <f t="shared" si="9"/>
        <v>0.7795275590551185</v>
      </c>
      <c r="J42" s="6">
        <f>COUNTIFS($A$2:$A$169,A42,$I$2:$I$169,"&gt;"&amp;I42)+COUNTIFS($A$2:A42,A42,$I$2:I42,I42)</f>
        <v>1</v>
      </c>
      <c r="K42" s="6">
        <f t="shared" si="10"/>
        <v>6</v>
      </c>
      <c r="L42" s="6">
        <f t="shared" si="11"/>
        <v>54</v>
      </c>
      <c r="M42" s="6">
        <f>ROUNDUP(L42/Controls!$B$8,0)</f>
        <v>2</v>
      </c>
    </row>
    <row r="43" spans="1:13" x14ac:dyDescent="0.2">
      <c r="A43" t="s">
        <v>34</v>
      </c>
      <c r="B43" t="s">
        <v>100</v>
      </c>
      <c r="C43" t="s">
        <v>53</v>
      </c>
      <c r="D43" s="17">
        <v>1</v>
      </c>
      <c r="E43" s="6">
        <f>INDEX(Country_Zones!$I$2:$I$12,MATCH(A43,Country_Zones!$A$2:$A$12,0))</f>
        <v>1366</v>
      </c>
      <c r="F43" s="17">
        <f t="shared" si="6"/>
        <v>31.75</v>
      </c>
      <c r="G43" s="17">
        <f t="shared" si="7"/>
        <v>43.023622047244096</v>
      </c>
      <c r="H43" s="6">
        <f t="shared" si="8"/>
        <v>43</v>
      </c>
      <c r="I43" s="9">
        <f t="shared" si="9"/>
        <v>2.3622047244096223E-2</v>
      </c>
      <c r="J43" s="6">
        <f>COUNTIFS($A$2:$A$169,A43,$I$2:$I$169,"&gt;"&amp;I43)+COUNTIFS($A$2:A43,A43,$I$2:I43,I43)</f>
        <v>22</v>
      </c>
      <c r="K43" s="6">
        <f t="shared" si="10"/>
        <v>6</v>
      </c>
      <c r="L43" s="6">
        <f t="shared" si="11"/>
        <v>43</v>
      </c>
      <c r="M43" s="6">
        <f>ROUNDUP(L43/Controls!$B$8,0)</f>
        <v>1</v>
      </c>
    </row>
    <row r="44" spans="1:13" x14ac:dyDescent="0.2">
      <c r="A44" t="s">
        <v>34</v>
      </c>
      <c r="B44" t="s">
        <v>101</v>
      </c>
      <c r="C44" t="s">
        <v>53</v>
      </c>
      <c r="D44" s="17">
        <v>1</v>
      </c>
      <c r="E44" s="6">
        <f>INDEX(Country_Zones!$I$2:$I$12,MATCH(A44,Country_Zones!$A$2:$A$12,0))</f>
        <v>1366</v>
      </c>
      <c r="F44" s="17">
        <f t="shared" si="6"/>
        <v>31.75</v>
      </c>
      <c r="G44" s="17">
        <f t="shared" si="7"/>
        <v>43.023622047244096</v>
      </c>
      <c r="H44" s="6">
        <f t="shared" si="8"/>
        <v>43</v>
      </c>
      <c r="I44" s="9">
        <f t="shared" si="9"/>
        <v>2.3622047244096223E-2</v>
      </c>
      <c r="J44" s="6">
        <f>COUNTIFS($A$2:$A$169,A44,$I$2:$I$169,"&gt;"&amp;I44)+COUNTIFS($A$2:A44,A44,$I$2:I44,I44)</f>
        <v>23</v>
      </c>
      <c r="K44" s="6">
        <f t="shared" si="10"/>
        <v>6</v>
      </c>
      <c r="L44" s="6">
        <f t="shared" si="11"/>
        <v>43</v>
      </c>
      <c r="M44" s="6">
        <f>ROUNDUP(L44/Controls!$B$8,0)</f>
        <v>1</v>
      </c>
    </row>
    <row r="45" spans="1:13" x14ac:dyDescent="0.2">
      <c r="A45" t="s">
        <v>34</v>
      </c>
      <c r="B45" t="s">
        <v>102</v>
      </c>
      <c r="C45" t="s">
        <v>56</v>
      </c>
      <c r="D45" s="17">
        <v>1.5</v>
      </c>
      <c r="E45" s="6">
        <f>INDEX(Country_Zones!$I$2:$I$12,MATCH(A45,Country_Zones!$A$2:$A$12,0))</f>
        <v>1366</v>
      </c>
      <c r="F45" s="17">
        <f t="shared" si="6"/>
        <v>31.75</v>
      </c>
      <c r="G45" s="17">
        <f t="shared" si="7"/>
        <v>64.535433070866148</v>
      </c>
      <c r="H45" s="6">
        <f t="shared" si="8"/>
        <v>64</v>
      </c>
      <c r="I45" s="9">
        <f t="shared" si="9"/>
        <v>0.53543307086614789</v>
      </c>
      <c r="J45" s="6">
        <f>COUNTIFS($A$2:$A$169,A45,$I$2:$I$169,"&gt;"&amp;I45)+COUNTIFS($A$2:A45,A45,$I$2:I45,I45)</f>
        <v>8</v>
      </c>
      <c r="K45" s="6">
        <f t="shared" si="10"/>
        <v>6</v>
      </c>
      <c r="L45" s="6">
        <f t="shared" si="11"/>
        <v>64</v>
      </c>
      <c r="M45" s="6">
        <f>ROUNDUP(L45/Controls!$B$8,0)</f>
        <v>2</v>
      </c>
    </row>
    <row r="46" spans="1:13" x14ac:dyDescent="0.2">
      <c r="A46" t="s">
        <v>34</v>
      </c>
      <c r="B46" t="s">
        <v>103</v>
      </c>
      <c r="C46" t="s">
        <v>66</v>
      </c>
      <c r="D46" s="17">
        <v>2</v>
      </c>
      <c r="E46" s="6">
        <f>INDEX(Country_Zones!$I$2:$I$12,MATCH(A46,Country_Zones!$A$2:$A$12,0))</f>
        <v>1366</v>
      </c>
      <c r="F46" s="17">
        <f t="shared" si="6"/>
        <v>31.75</v>
      </c>
      <c r="G46" s="17">
        <f t="shared" si="7"/>
        <v>86.047244094488192</v>
      </c>
      <c r="H46" s="6">
        <f t="shared" si="8"/>
        <v>86</v>
      </c>
      <c r="I46" s="9">
        <f t="shared" si="9"/>
        <v>4.7244094488192445E-2</v>
      </c>
      <c r="J46" s="6">
        <f>COUNTIFS($A$2:$A$169,A46,$I$2:$I$169,"&gt;"&amp;I46)+COUNTIFS($A$2:A46,A46,$I$2:I46,I46)</f>
        <v>10</v>
      </c>
      <c r="K46" s="6">
        <f t="shared" si="10"/>
        <v>6</v>
      </c>
      <c r="L46" s="6">
        <f t="shared" si="11"/>
        <v>86</v>
      </c>
      <c r="M46" s="6">
        <f>ROUNDUP(L46/Controls!$B$8,0)</f>
        <v>2</v>
      </c>
    </row>
    <row r="47" spans="1:13" x14ac:dyDescent="0.2">
      <c r="A47" t="s">
        <v>34</v>
      </c>
      <c r="B47" t="s">
        <v>104</v>
      </c>
      <c r="C47" t="s">
        <v>53</v>
      </c>
      <c r="D47" s="17">
        <v>1</v>
      </c>
      <c r="E47" s="6">
        <f>INDEX(Country_Zones!$I$2:$I$12,MATCH(A47,Country_Zones!$A$2:$A$12,0))</f>
        <v>1366</v>
      </c>
      <c r="F47" s="17">
        <f t="shared" si="6"/>
        <v>31.75</v>
      </c>
      <c r="G47" s="17">
        <f t="shared" si="7"/>
        <v>43.023622047244096</v>
      </c>
      <c r="H47" s="6">
        <f t="shared" si="8"/>
        <v>43</v>
      </c>
      <c r="I47" s="9">
        <f t="shared" si="9"/>
        <v>2.3622047244096223E-2</v>
      </c>
      <c r="J47" s="6">
        <f>COUNTIFS($A$2:$A$169,A47,$I$2:$I$169,"&gt;"&amp;I47)+COUNTIFS($A$2:A47,A47,$I$2:I47,I47)</f>
        <v>24</v>
      </c>
      <c r="K47" s="6">
        <f t="shared" si="10"/>
        <v>6</v>
      </c>
      <c r="L47" s="6">
        <f t="shared" si="11"/>
        <v>43</v>
      </c>
      <c r="M47" s="6">
        <f>ROUNDUP(L47/Controls!$B$8,0)</f>
        <v>1</v>
      </c>
    </row>
    <row r="48" spans="1:13" x14ac:dyDescent="0.2">
      <c r="A48" t="s">
        <v>34</v>
      </c>
      <c r="B48" t="s">
        <v>105</v>
      </c>
      <c r="C48" t="s">
        <v>53</v>
      </c>
      <c r="D48" s="17">
        <v>1</v>
      </c>
      <c r="E48" s="6">
        <f>INDEX(Country_Zones!$I$2:$I$12,MATCH(A48,Country_Zones!$A$2:$A$12,0))</f>
        <v>1366</v>
      </c>
      <c r="F48" s="17">
        <f t="shared" si="6"/>
        <v>31.75</v>
      </c>
      <c r="G48" s="17">
        <f t="shared" si="7"/>
        <v>43.023622047244096</v>
      </c>
      <c r="H48" s="6">
        <f t="shared" si="8"/>
        <v>43</v>
      </c>
      <c r="I48" s="9">
        <f t="shared" si="9"/>
        <v>2.3622047244096223E-2</v>
      </c>
      <c r="J48" s="6">
        <f>COUNTIFS($A$2:$A$169,A48,$I$2:$I$169,"&gt;"&amp;I48)+COUNTIFS($A$2:A48,A48,$I$2:I48,I48)</f>
        <v>25</v>
      </c>
      <c r="K48" s="6">
        <f t="shared" si="10"/>
        <v>6</v>
      </c>
      <c r="L48" s="6">
        <f t="shared" si="11"/>
        <v>43</v>
      </c>
      <c r="M48" s="6">
        <f>ROUNDUP(L48/Controls!$B$8,0)</f>
        <v>1</v>
      </c>
    </row>
    <row r="49" spans="1:13" x14ac:dyDescent="0.2">
      <c r="A49" t="s">
        <v>34</v>
      </c>
      <c r="B49" t="s">
        <v>106</v>
      </c>
      <c r="C49" t="s">
        <v>56</v>
      </c>
      <c r="D49" s="17">
        <v>1.25</v>
      </c>
      <c r="E49" s="6">
        <f>INDEX(Country_Zones!$I$2:$I$12,MATCH(A49,Country_Zones!$A$2:$A$12,0))</f>
        <v>1366</v>
      </c>
      <c r="F49" s="17">
        <f t="shared" si="6"/>
        <v>31.75</v>
      </c>
      <c r="G49" s="17">
        <f t="shared" si="7"/>
        <v>53.779527559055119</v>
      </c>
      <c r="H49" s="6">
        <f t="shared" si="8"/>
        <v>53</v>
      </c>
      <c r="I49" s="9">
        <f t="shared" si="9"/>
        <v>0.7795275590551185</v>
      </c>
      <c r="J49" s="6">
        <f>COUNTIFS($A$2:$A$169,A49,$I$2:$I$169,"&gt;"&amp;I49)+COUNTIFS($A$2:A49,A49,$I$2:I49,I49)</f>
        <v>2</v>
      </c>
      <c r="K49" s="6">
        <f t="shared" si="10"/>
        <v>6</v>
      </c>
      <c r="L49" s="6">
        <f t="shared" si="11"/>
        <v>54</v>
      </c>
      <c r="M49" s="6">
        <f>ROUNDUP(L49/Controls!$B$8,0)</f>
        <v>2</v>
      </c>
    </row>
    <row r="50" spans="1:13" x14ac:dyDescent="0.2">
      <c r="A50" t="s">
        <v>34</v>
      </c>
      <c r="B50" t="s">
        <v>107</v>
      </c>
      <c r="C50" t="s">
        <v>53</v>
      </c>
      <c r="D50" s="17">
        <v>1</v>
      </c>
      <c r="E50" s="6">
        <f>INDEX(Country_Zones!$I$2:$I$12,MATCH(A50,Country_Zones!$A$2:$A$12,0))</f>
        <v>1366</v>
      </c>
      <c r="F50" s="17">
        <f t="shared" si="6"/>
        <v>31.75</v>
      </c>
      <c r="G50" s="17">
        <f t="shared" si="7"/>
        <v>43.023622047244096</v>
      </c>
      <c r="H50" s="6">
        <f t="shared" si="8"/>
        <v>43</v>
      </c>
      <c r="I50" s="9">
        <f t="shared" si="9"/>
        <v>2.3622047244096223E-2</v>
      </c>
      <c r="J50" s="6">
        <f>COUNTIFS($A$2:$A$169,A50,$I$2:$I$169,"&gt;"&amp;I50)+COUNTIFS($A$2:A50,A50,$I$2:I50,I50)</f>
        <v>26</v>
      </c>
      <c r="K50" s="6">
        <f t="shared" si="10"/>
        <v>6</v>
      </c>
      <c r="L50" s="6">
        <f t="shared" si="11"/>
        <v>43</v>
      </c>
      <c r="M50" s="6">
        <f>ROUNDUP(L50/Controls!$B$8,0)</f>
        <v>1</v>
      </c>
    </row>
    <row r="51" spans="1:13" x14ac:dyDescent="0.2">
      <c r="A51" t="s">
        <v>34</v>
      </c>
      <c r="B51" t="s">
        <v>108</v>
      </c>
      <c r="C51" t="s">
        <v>56</v>
      </c>
      <c r="D51" s="17">
        <v>1.25</v>
      </c>
      <c r="E51" s="6">
        <f>INDEX(Country_Zones!$I$2:$I$12,MATCH(A51,Country_Zones!$A$2:$A$12,0))</f>
        <v>1366</v>
      </c>
      <c r="F51" s="17">
        <f t="shared" si="6"/>
        <v>31.75</v>
      </c>
      <c r="G51" s="17">
        <f t="shared" si="7"/>
        <v>53.779527559055119</v>
      </c>
      <c r="H51" s="6">
        <f t="shared" si="8"/>
        <v>53</v>
      </c>
      <c r="I51" s="9">
        <f t="shared" si="9"/>
        <v>0.7795275590551185</v>
      </c>
      <c r="J51" s="6">
        <f>COUNTIFS($A$2:$A$169,A51,$I$2:$I$169,"&gt;"&amp;I51)+COUNTIFS($A$2:A51,A51,$I$2:I51,I51)</f>
        <v>3</v>
      </c>
      <c r="K51" s="6">
        <f t="shared" si="10"/>
        <v>6</v>
      </c>
      <c r="L51" s="6">
        <f t="shared" si="11"/>
        <v>54</v>
      </c>
      <c r="M51" s="6">
        <f>ROUNDUP(L51/Controls!$B$8,0)</f>
        <v>2</v>
      </c>
    </row>
    <row r="52" spans="1:13" x14ac:dyDescent="0.2">
      <c r="A52" t="s">
        <v>34</v>
      </c>
      <c r="B52" t="s">
        <v>109</v>
      </c>
      <c r="C52" t="s">
        <v>56</v>
      </c>
      <c r="D52" s="17">
        <v>1.5</v>
      </c>
      <c r="E52" s="6">
        <f>INDEX(Country_Zones!$I$2:$I$12,MATCH(A52,Country_Zones!$A$2:$A$12,0))</f>
        <v>1366</v>
      </c>
      <c r="F52" s="17">
        <f t="shared" si="6"/>
        <v>31.75</v>
      </c>
      <c r="G52" s="17">
        <f t="shared" si="7"/>
        <v>64.535433070866148</v>
      </c>
      <c r="H52" s="6">
        <f t="shared" si="8"/>
        <v>64</v>
      </c>
      <c r="I52" s="9">
        <f t="shared" si="9"/>
        <v>0.53543307086614789</v>
      </c>
      <c r="J52" s="6">
        <f>COUNTIFS($A$2:$A$169,A52,$I$2:$I$169,"&gt;"&amp;I52)+COUNTIFS($A$2:A52,A52,$I$2:I52,I52)</f>
        <v>9</v>
      </c>
      <c r="K52" s="6">
        <f t="shared" si="10"/>
        <v>6</v>
      </c>
      <c r="L52" s="6">
        <f t="shared" si="11"/>
        <v>64</v>
      </c>
      <c r="M52" s="6">
        <f>ROUNDUP(L52/Controls!$B$8,0)</f>
        <v>2</v>
      </c>
    </row>
    <row r="53" spans="1:13" x14ac:dyDescent="0.2">
      <c r="A53" t="s">
        <v>34</v>
      </c>
      <c r="B53" t="s">
        <v>110</v>
      </c>
      <c r="C53" t="s">
        <v>53</v>
      </c>
      <c r="D53" s="17">
        <v>1</v>
      </c>
      <c r="E53" s="6">
        <f>INDEX(Country_Zones!$I$2:$I$12,MATCH(A53,Country_Zones!$A$2:$A$12,0))</f>
        <v>1366</v>
      </c>
      <c r="F53" s="17">
        <f t="shared" si="6"/>
        <v>31.75</v>
      </c>
      <c r="G53" s="17">
        <f t="shared" si="7"/>
        <v>43.023622047244096</v>
      </c>
      <c r="H53" s="6">
        <f t="shared" si="8"/>
        <v>43</v>
      </c>
      <c r="I53" s="9">
        <f t="shared" si="9"/>
        <v>2.3622047244096223E-2</v>
      </c>
      <c r="J53" s="6">
        <f>COUNTIFS($A$2:$A$169,A53,$I$2:$I$169,"&gt;"&amp;I53)+COUNTIFS($A$2:A53,A53,$I$2:I53,I53)</f>
        <v>27</v>
      </c>
      <c r="K53" s="6">
        <f t="shared" si="10"/>
        <v>6</v>
      </c>
      <c r="L53" s="6">
        <f t="shared" si="11"/>
        <v>43</v>
      </c>
      <c r="M53" s="6">
        <f>ROUNDUP(L53/Controls!$B$8,0)</f>
        <v>1</v>
      </c>
    </row>
    <row r="54" spans="1:13" x14ac:dyDescent="0.2">
      <c r="A54" t="s">
        <v>32</v>
      </c>
      <c r="B54" t="s">
        <v>111</v>
      </c>
      <c r="C54" t="s">
        <v>53</v>
      </c>
      <c r="D54" s="17">
        <v>1</v>
      </c>
      <c r="E54" s="6">
        <f>INDEX(Country_Zones!$I$2:$I$12,MATCH(A54,Country_Zones!$A$2:$A$12,0))</f>
        <v>1771</v>
      </c>
      <c r="F54" s="17">
        <f t="shared" si="6"/>
        <v>40.5</v>
      </c>
      <c r="G54" s="17">
        <f t="shared" si="7"/>
        <v>43.728395061728392</v>
      </c>
      <c r="H54" s="6">
        <f t="shared" si="8"/>
        <v>43</v>
      </c>
      <c r="I54" s="9">
        <f t="shared" si="9"/>
        <v>0.72839506172839208</v>
      </c>
      <c r="J54" s="6">
        <f>COUNTIFS($A$2:$A$169,A54,$I$2:$I$169,"&gt;"&amp;I54)+COUNTIFS($A$2:A54,A54,$I$2:I54,I54)</f>
        <v>1</v>
      </c>
      <c r="K54" s="6">
        <f t="shared" si="10"/>
        <v>24</v>
      </c>
      <c r="L54" s="6">
        <f t="shared" si="11"/>
        <v>44</v>
      </c>
      <c r="M54" s="6">
        <f>ROUNDUP(L54/Controls!$B$8,0)</f>
        <v>1</v>
      </c>
    </row>
    <row r="55" spans="1:13" x14ac:dyDescent="0.2">
      <c r="A55" t="s">
        <v>32</v>
      </c>
      <c r="B55" t="s">
        <v>112</v>
      </c>
      <c r="C55" t="s">
        <v>66</v>
      </c>
      <c r="D55" s="17">
        <v>2</v>
      </c>
      <c r="E55" s="6">
        <f>INDEX(Country_Zones!$I$2:$I$12,MATCH(A55,Country_Zones!$A$2:$A$12,0))</f>
        <v>1771</v>
      </c>
      <c r="F55" s="17">
        <f t="shared" si="6"/>
        <v>40.5</v>
      </c>
      <c r="G55" s="17">
        <f t="shared" si="7"/>
        <v>87.456790123456784</v>
      </c>
      <c r="H55" s="6">
        <f t="shared" si="8"/>
        <v>87</v>
      </c>
      <c r="I55" s="9">
        <f t="shared" si="9"/>
        <v>0.45679012345678416</v>
      </c>
      <c r="J55" s="6">
        <f>COUNTIFS($A$2:$A$169,A55,$I$2:$I$169,"&gt;"&amp;I55)+COUNTIFS($A$2:A55,A55,$I$2:I55,I55)</f>
        <v>35</v>
      </c>
      <c r="K55" s="6">
        <f t="shared" si="10"/>
        <v>24</v>
      </c>
      <c r="L55" s="6">
        <f t="shared" si="11"/>
        <v>87</v>
      </c>
      <c r="M55" s="6">
        <f>ROUNDUP(L55/Controls!$B$8,0)</f>
        <v>2</v>
      </c>
    </row>
    <row r="56" spans="1:13" x14ac:dyDescent="0.2">
      <c r="A56" t="s">
        <v>32</v>
      </c>
      <c r="B56" t="s">
        <v>113</v>
      </c>
      <c r="C56" t="s">
        <v>53</v>
      </c>
      <c r="D56" s="17">
        <v>1</v>
      </c>
      <c r="E56" s="6">
        <f>INDEX(Country_Zones!$I$2:$I$12,MATCH(A56,Country_Zones!$A$2:$A$12,0))</f>
        <v>1771</v>
      </c>
      <c r="F56" s="17">
        <f t="shared" si="6"/>
        <v>40.5</v>
      </c>
      <c r="G56" s="17">
        <f t="shared" si="7"/>
        <v>43.728395061728392</v>
      </c>
      <c r="H56" s="6">
        <f t="shared" si="8"/>
        <v>43</v>
      </c>
      <c r="I56" s="9">
        <f t="shared" si="9"/>
        <v>0.72839506172839208</v>
      </c>
      <c r="J56" s="6">
        <f>COUNTIFS($A$2:$A$169,A56,$I$2:$I$169,"&gt;"&amp;I56)+COUNTIFS($A$2:A56,A56,$I$2:I56,I56)</f>
        <v>2</v>
      </c>
      <c r="K56" s="6">
        <f t="shared" si="10"/>
        <v>24</v>
      </c>
      <c r="L56" s="6">
        <f t="shared" si="11"/>
        <v>44</v>
      </c>
      <c r="M56" s="6">
        <f>ROUNDUP(L56/Controls!$B$8,0)</f>
        <v>1</v>
      </c>
    </row>
    <row r="57" spans="1:13" x14ac:dyDescent="0.2">
      <c r="A57" t="s">
        <v>32</v>
      </c>
      <c r="B57" t="s">
        <v>114</v>
      </c>
      <c r="C57" t="s">
        <v>53</v>
      </c>
      <c r="D57" s="17">
        <v>1</v>
      </c>
      <c r="E57" s="6">
        <f>INDEX(Country_Zones!$I$2:$I$12,MATCH(A57,Country_Zones!$A$2:$A$12,0))</f>
        <v>1771</v>
      </c>
      <c r="F57" s="17">
        <f t="shared" si="6"/>
        <v>40.5</v>
      </c>
      <c r="G57" s="17">
        <f t="shared" si="7"/>
        <v>43.728395061728392</v>
      </c>
      <c r="H57" s="6">
        <f t="shared" si="8"/>
        <v>43</v>
      </c>
      <c r="I57" s="9">
        <f t="shared" si="9"/>
        <v>0.72839506172839208</v>
      </c>
      <c r="J57" s="6">
        <f>COUNTIFS($A$2:$A$169,A57,$I$2:$I$169,"&gt;"&amp;I57)+COUNTIFS($A$2:A57,A57,$I$2:I57,I57)</f>
        <v>3</v>
      </c>
      <c r="K57" s="6">
        <f t="shared" si="10"/>
        <v>24</v>
      </c>
      <c r="L57" s="6">
        <f t="shared" si="11"/>
        <v>44</v>
      </c>
      <c r="M57" s="6">
        <f>ROUNDUP(L57/Controls!$B$8,0)</f>
        <v>1</v>
      </c>
    </row>
    <row r="58" spans="1:13" x14ac:dyDescent="0.2">
      <c r="A58" t="s">
        <v>32</v>
      </c>
      <c r="B58" t="s">
        <v>115</v>
      </c>
      <c r="C58" t="s">
        <v>56</v>
      </c>
      <c r="D58" s="17">
        <v>1.25</v>
      </c>
      <c r="E58" s="6">
        <f>INDEX(Country_Zones!$I$2:$I$12,MATCH(A58,Country_Zones!$A$2:$A$12,0))</f>
        <v>1771</v>
      </c>
      <c r="F58" s="17">
        <f t="shared" si="6"/>
        <v>40.5</v>
      </c>
      <c r="G58" s="17">
        <f t="shared" si="7"/>
        <v>54.660493827160494</v>
      </c>
      <c r="H58" s="6">
        <f t="shared" si="8"/>
        <v>54</v>
      </c>
      <c r="I58" s="9">
        <f t="shared" si="9"/>
        <v>0.66049382716049365</v>
      </c>
      <c r="J58" s="6">
        <f>COUNTIFS($A$2:$A$169,A58,$I$2:$I$169,"&gt;"&amp;I58)+COUNTIFS($A$2:A58,A58,$I$2:I58,I58)</f>
        <v>23</v>
      </c>
      <c r="K58" s="6">
        <f t="shared" si="10"/>
        <v>24</v>
      </c>
      <c r="L58" s="6">
        <f t="shared" si="11"/>
        <v>55</v>
      </c>
      <c r="M58" s="6">
        <f>ROUNDUP(L58/Controls!$B$8,0)</f>
        <v>2</v>
      </c>
    </row>
    <row r="59" spans="1:13" x14ac:dyDescent="0.2">
      <c r="A59" t="s">
        <v>32</v>
      </c>
      <c r="B59" t="s">
        <v>116</v>
      </c>
      <c r="C59" t="s">
        <v>56</v>
      </c>
      <c r="D59" s="17">
        <v>1.25</v>
      </c>
      <c r="E59" s="6">
        <f>INDEX(Country_Zones!$I$2:$I$12,MATCH(A59,Country_Zones!$A$2:$A$12,0))</f>
        <v>1771</v>
      </c>
      <c r="F59" s="17">
        <f t="shared" si="6"/>
        <v>40.5</v>
      </c>
      <c r="G59" s="17">
        <f t="shared" si="7"/>
        <v>54.660493827160494</v>
      </c>
      <c r="H59" s="6">
        <f t="shared" si="8"/>
        <v>54</v>
      </c>
      <c r="I59" s="9">
        <f t="shared" si="9"/>
        <v>0.66049382716049365</v>
      </c>
      <c r="J59" s="6">
        <f>COUNTIFS($A$2:$A$169,A59,$I$2:$I$169,"&gt;"&amp;I59)+COUNTIFS($A$2:A59,A59,$I$2:I59,I59)</f>
        <v>24</v>
      </c>
      <c r="K59" s="6">
        <f t="shared" si="10"/>
        <v>24</v>
      </c>
      <c r="L59" s="6">
        <f t="shared" si="11"/>
        <v>55</v>
      </c>
      <c r="M59" s="6">
        <f>ROUNDUP(L59/Controls!$B$8,0)</f>
        <v>2</v>
      </c>
    </row>
    <row r="60" spans="1:13" x14ac:dyDescent="0.2">
      <c r="A60" t="s">
        <v>32</v>
      </c>
      <c r="B60" t="s">
        <v>117</v>
      </c>
      <c r="C60" t="s">
        <v>56</v>
      </c>
      <c r="D60" s="17">
        <v>1.25</v>
      </c>
      <c r="E60" s="6">
        <f>INDEX(Country_Zones!$I$2:$I$12,MATCH(A60,Country_Zones!$A$2:$A$12,0))</f>
        <v>1771</v>
      </c>
      <c r="F60" s="17">
        <f t="shared" si="6"/>
        <v>40.5</v>
      </c>
      <c r="G60" s="17">
        <f t="shared" si="7"/>
        <v>54.660493827160494</v>
      </c>
      <c r="H60" s="6">
        <f t="shared" si="8"/>
        <v>54</v>
      </c>
      <c r="I60" s="9">
        <f t="shared" si="9"/>
        <v>0.66049382716049365</v>
      </c>
      <c r="J60" s="6">
        <f>COUNTIFS($A$2:$A$169,A60,$I$2:$I$169,"&gt;"&amp;I60)+COUNTIFS($A$2:A60,A60,$I$2:I60,I60)</f>
        <v>25</v>
      </c>
      <c r="K60" s="6">
        <f t="shared" si="10"/>
        <v>24</v>
      </c>
      <c r="L60" s="6">
        <f t="shared" si="11"/>
        <v>54</v>
      </c>
      <c r="M60" s="6">
        <f>ROUNDUP(L60/Controls!$B$8,0)</f>
        <v>2</v>
      </c>
    </row>
    <row r="61" spans="1:13" x14ac:dyDescent="0.2">
      <c r="A61" t="s">
        <v>32</v>
      </c>
      <c r="B61" t="s">
        <v>118</v>
      </c>
      <c r="C61" t="s">
        <v>53</v>
      </c>
      <c r="D61" s="17">
        <v>1</v>
      </c>
      <c r="E61" s="6">
        <f>INDEX(Country_Zones!$I$2:$I$12,MATCH(A61,Country_Zones!$A$2:$A$12,0))</f>
        <v>1771</v>
      </c>
      <c r="F61" s="17">
        <f t="shared" si="6"/>
        <v>40.5</v>
      </c>
      <c r="G61" s="17">
        <f t="shared" si="7"/>
        <v>43.728395061728392</v>
      </c>
      <c r="H61" s="6">
        <f t="shared" si="8"/>
        <v>43</v>
      </c>
      <c r="I61" s="9">
        <f t="shared" si="9"/>
        <v>0.72839506172839208</v>
      </c>
      <c r="J61" s="6">
        <f>COUNTIFS($A$2:$A$169,A61,$I$2:$I$169,"&gt;"&amp;I61)+COUNTIFS($A$2:A61,A61,$I$2:I61,I61)</f>
        <v>4</v>
      </c>
      <c r="K61" s="6">
        <f t="shared" si="10"/>
        <v>24</v>
      </c>
      <c r="L61" s="6">
        <f t="shared" si="11"/>
        <v>44</v>
      </c>
      <c r="M61" s="6">
        <f>ROUNDUP(L61/Controls!$B$8,0)</f>
        <v>1</v>
      </c>
    </row>
    <row r="62" spans="1:13" x14ac:dyDescent="0.2">
      <c r="A62" t="s">
        <v>32</v>
      </c>
      <c r="B62" t="s">
        <v>119</v>
      </c>
      <c r="C62" t="s">
        <v>56</v>
      </c>
      <c r="D62" s="17">
        <v>1.5</v>
      </c>
      <c r="E62" s="6">
        <f>INDEX(Country_Zones!$I$2:$I$12,MATCH(A62,Country_Zones!$A$2:$A$12,0))</f>
        <v>1771</v>
      </c>
      <c r="F62" s="17">
        <f t="shared" si="6"/>
        <v>40.5</v>
      </c>
      <c r="G62" s="17">
        <f t="shared" si="7"/>
        <v>65.592592592592595</v>
      </c>
      <c r="H62" s="6">
        <f t="shared" si="8"/>
        <v>65</v>
      </c>
      <c r="I62" s="9">
        <f t="shared" si="9"/>
        <v>0.59259259259259522</v>
      </c>
      <c r="J62" s="6">
        <f>COUNTIFS($A$2:$A$169,A62,$I$2:$I$169,"&gt;"&amp;I62)+COUNTIFS($A$2:A62,A62,$I$2:I62,I62)</f>
        <v>29</v>
      </c>
      <c r="K62" s="6">
        <f t="shared" si="10"/>
        <v>24</v>
      </c>
      <c r="L62" s="6">
        <f t="shared" si="11"/>
        <v>65</v>
      </c>
      <c r="M62" s="6">
        <f>ROUNDUP(L62/Controls!$B$8,0)</f>
        <v>2</v>
      </c>
    </row>
    <row r="63" spans="1:13" x14ac:dyDescent="0.2">
      <c r="A63" t="s">
        <v>32</v>
      </c>
      <c r="B63" t="s">
        <v>120</v>
      </c>
      <c r="C63" t="s">
        <v>53</v>
      </c>
      <c r="D63" s="17">
        <v>1</v>
      </c>
      <c r="E63" s="6">
        <f>INDEX(Country_Zones!$I$2:$I$12,MATCH(A63,Country_Zones!$A$2:$A$12,0))</f>
        <v>1771</v>
      </c>
      <c r="F63" s="17">
        <f t="shared" si="6"/>
        <v>40.5</v>
      </c>
      <c r="G63" s="17">
        <f t="shared" si="7"/>
        <v>43.728395061728392</v>
      </c>
      <c r="H63" s="6">
        <f t="shared" si="8"/>
        <v>43</v>
      </c>
      <c r="I63" s="9">
        <f t="shared" si="9"/>
        <v>0.72839506172839208</v>
      </c>
      <c r="J63" s="6">
        <f>COUNTIFS($A$2:$A$169,A63,$I$2:$I$169,"&gt;"&amp;I63)+COUNTIFS($A$2:A63,A63,$I$2:I63,I63)</f>
        <v>5</v>
      </c>
      <c r="K63" s="6">
        <f t="shared" si="10"/>
        <v>24</v>
      </c>
      <c r="L63" s="6">
        <f t="shared" si="11"/>
        <v>44</v>
      </c>
      <c r="M63" s="6">
        <f>ROUNDUP(L63/Controls!$B$8,0)</f>
        <v>1</v>
      </c>
    </row>
    <row r="64" spans="1:13" x14ac:dyDescent="0.2">
      <c r="A64" t="s">
        <v>32</v>
      </c>
      <c r="B64" t="s">
        <v>121</v>
      </c>
      <c r="C64" t="s">
        <v>56</v>
      </c>
      <c r="D64" s="17">
        <v>1.5</v>
      </c>
      <c r="E64" s="6">
        <f>INDEX(Country_Zones!$I$2:$I$12,MATCH(A64,Country_Zones!$A$2:$A$12,0))</f>
        <v>1771</v>
      </c>
      <c r="F64" s="17">
        <f t="shared" si="6"/>
        <v>40.5</v>
      </c>
      <c r="G64" s="17">
        <f t="shared" si="7"/>
        <v>65.592592592592595</v>
      </c>
      <c r="H64" s="6">
        <f t="shared" si="8"/>
        <v>65</v>
      </c>
      <c r="I64" s="9">
        <f t="shared" si="9"/>
        <v>0.59259259259259522</v>
      </c>
      <c r="J64" s="6">
        <f>COUNTIFS($A$2:$A$169,A64,$I$2:$I$169,"&gt;"&amp;I64)+COUNTIFS($A$2:A64,A64,$I$2:I64,I64)</f>
        <v>30</v>
      </c>
      <c r="K64" s="6">
        <f t="shared" si="10"/>
        <v>24</v>
      </c>
      <c r="L64" s="6">
        <f t="shared" si="11"/>
        <v>65</v>
      </c>
      <c r="M64" s="6">
        <f>ROUNDUP(L64/Controls!$B$8,0)</f>
        <v>2</v>
      </c>
    </row>
    <row r="65" spans="1:13" x14ac:dyDescent="0.2">
      <c r="A65" t="s">
        <v>32</v>
      </c>
      <c r="B65" t="s">
        <v>122</v>
      </c>
      <c r="C65" t="s">
        <v>53</v>
      </c>
      <c r="D65" s="17">
        <v>1</v>
      </c>
      <c r="E65" s="6">
        <f>INDEX(Country_Zones!$I$2:$I$12,MATCH(A65,Country_Zones!$A$2:$A$12,0))</f>
        <v>1771</v>
      </c>
      <c r="F65" s="17">
        <f t="shared" si="6"/>
        <v>40.5</v>
      </c>
      <c r="G65" s="17">
        <f t="shared" si="7"/>
        <v>43.728395061728392</v>
      </c>
      <c r="H65" s="6">
        <f t="shared" si="8"/>
        <v>43</v>
      </c>
      <c r="I65" s="9">
        <f t="shared" si="9"/>
        <v>0.72839506172839208</v>
      </c>
      <c r="J65" s="6">
        <f>COUNTIFS($A$2:$A$169,A65,$I$2:$I$169,"&gt;"&amp;I65)+COUNTIFS($A$2:A65,A65,$I$2:I65,I65)</f>
        <v>6</v>
      </c>
      <c r="K65" s="6">
        <f t="shared" si="10"/>
        <v>24</v>
      </c>
      <c r="L65" s="6">
        <f t="shared" si="11"/>
        <v>44</v>
      </c>
      <c r="M65" s="6">
        <f>ROUNDUP(L65/Controls!$B$8,0)</f>
        <v>1</v>
      </c>
    </row>
    <row r="66" spans="1:13" x14ac:dyDescent="0.2">
      <c r="A66" t="s">
        <v>32</v>
      </c>
      <c r="B66" t="s">
        <v>123</v>
      </c>
      <c r="C66" t="s">
        <v>53</v>
      </c>
      <c r="D66" s="17">
        <v>1</v>
      </c>
      <c r="E66" s="6">
        <f>INDEX(Country_Zones!$I$2:$I$12,MATCH(A66,Country_Zones!$A$2:$A$12,0))</f>
        <v>1771</v>
      </c>
      <c r="F66" s="17">
        <f t="shared" ref="F66:F97" si="12">SUMIF($A$2:$A$169,A66,$D$2:$D$169)</f>
        <v>40.5</v>
      </c>
      <c r="G66" s="17">
        <f t="shared" ref="G66:G97" si="13">E66*(D66/F66)</f>
        <v>43.728395061728392</v>
      </c>
      <c r="H66" s="6">
        <f t="shared" ref="H66:H97" si="14">INT(G66)</f>
        <v>43</v>
      </c>
      <c r="I66" s="9">
        <f t="shared" ref="I66:I97" si="15">G66-H66</f>
        <v>0.72839506172839208</v>
      </c>
      <c r="J66" s="6">
        <f>COUNTIFS($A$2:$A$169,A66,$I$2:$I$169,"&gt;"&amp;I66)+COUNTIFS($A$2:A66,A66,$I$2:I66,I66)</f>
        <v>7</v>
      </c>
      <c r="K66" s="6">
        <f t="shared" ref="K66:K97" si="16">E66-SUMIF($A$2:$A$169,A66,$H$2:$H$169)</f>
        <v>24</v>
      </c>
      <c r="L66" s="6">
        <f t="shared" ref="L66:L97" si="17">H66+IF(J66&lt;=K66,1,0)</f>
        <v>44</v>
      </c>
      <c r="M66" s="6">
        <f>ROUNDUP(L66/Controls!$B$8,0)</f>
        <v>1</v>
      </c>
    </row>
    <row r="67" spans="1:13" x14ac:dyDescent="0.2">
      <c r="A67" t="s">
        <v>32</v>
      </c>
      <c r="B67" t="s">
        <v>124</v>
      </c>
      <c r="C67" t="s">
        <v>53</v>
      </c>
      <c r="D67" s="17">
        <v>1</v>
      </c>
      <c r="E67" s="6">
        <f>INDEX(Country_Zones!$I$2:$I$12,MATCH(A67,Country_Zones!$A$2:$A$12,0))</f>
        <v>1771</v>
      </c>
      <c r="F67" s="17">
        <f t="shared" si="12"/>
        <v>40.5</v>
      </c>
      <c r="G67" s="17">
        <f t="shared" si="13"/>
        <v>43.728395061728392</v>
      </c>
      <c r="H67" s="6">
        <f t="shared" si="14"/>
        <v>43</v>
      </c>
      <c r="I67" s="9">
        <f t="shared" si="15"/>
        <v>0.72839506172839208</v>
      </c>
      <c r="J67" s="6">
        <f>COUNTIFS($A$2:$A$169,A67,$I$2:$I$169,"&gt;"&amp;I67)+COUNTIFS($A$2:A67,A67,$I$2:I67,I67)</f>
        <v>8</v>
      </c>
      <c r="K67" s="6">
        <f t="shared" si="16"/>
        <v>24</v>
      </c>
      <c r="L67" s="6">
        <f t="shared" si="17"/>
        <v>44</v>
      </c>
      <c r="M67" s="6">
        <f>ROUNDUP(L67/Controls!$B$8,0)</f>
        <v>1</v>
      </c>
    </row>
    <row r="68" spans="1:13" x14ac:dyDescent="0.2">
      <c r="A68" t="s">
        <v>32</v>
      </c>
      <c r="B68" t="s">
        <v>125</v>
      </c>
      <c r="C68" t="s">
        <v>56</v>
      </c>
      <c r="D68" s="17">
        <v>1.5</v>
      </c>
      <c r="E68" s="6">
        <f>INDEX(Country_Zones!$I$2:$I$12,MATCH(A68,Country_Zones!$A$2:$A$12,0))</f>
        <v>1771</v>
      </c>
      <c r="F68" s="17">
        <f t="shared" si="12"/>
        <v>40.5</v>
      </c>
      <c r="G68" s="17">
        <f t="shared" si="13"/>
        <v>65.592592592592595</v>
      </c>
      <c r="H68" s="6">
        <f t="shared" si="14"/>
        <v>65</v>
      </c>
      <c r="I68" s="9">
        <f t="shared" si="15"/>
        <v>0.59259259259259522</v>
      </c>
      <c r="J68" s="6">
        <f>COUNTIFS($A$2:$A$169,A68,$I$2:$I$169,"&gt;"&amp;I68)+COUNTIFS($A$2:A68,A68,$I$2:I68,I68)</f>
        <v>31</v>
      </c>
      <c r="K68" s="6">
        <f t="shared" si="16"/>
        <v>24</v>
      </c>
      <c r="L68" s="6">
        <f t="shared" si="17"/>
        <v>65</v>
      </c>
      <c r="M68" s="6">
        <f>ROUNDUP(L68/Controls!$B$8,0)</f>
        <v>2</v>
      </c>
    </row>
    <row r="69" spans="1:13" x14ac:dyDescent="0.2">
      <c r="A69" t="s">
        <v>32</v>
      </c>
      <c r="B69" t="s">
        <v>126</v>
      </c>
      <c r="C69" t="s">
        <v>56</v>
      </c>
      <c r="D69" s="17">
        <v>1.25</v>
      </c>
      <c r="E69" s="6">
        <f>INDEX(Country_Zones!$I$2:$I$12,MATCH(A69,Country_Zones!$A$2:$A$12,0))</f>
        <v>1771</v>
      </c>
      <c r="F69" s="17">
        <f t="shared" si="12"/>
        <v>40.5</v>
      </c>
      <c r="G69" s="17">
        <f t="shared" si="13"/>
        <v>54.660493827160494</v>
      </c>
      <c r="H69" s="6">
        <f t="shared" si="14"/>
        <v>54</v>
      </c>
      <c r="I69" s="9">
        <f t="shared" si="15"/>
        <v>0.66049382716049365</v>
      </c>
      <c r="J69" s="6">
        <f>COUNTIFS($A$2:$A$169,A69,$I$2:$I$169,"&gt;"&amp;I69)+COUNTIFS($A$2:A69,A69,$I$2:I69,I69)</f>
        <v>26</v>
      </c>
      <c r="K69" s="6">
        <f t="shared" si="16"/>
        <v>24</v>
      </c>
      <c r="L69" s="6">
        <f t="shared" si="17"/>
        <v>54</v>
      </c>
      <c r="M69" s="6">
        <f>ROUNDUP(L69/Controls!$B$8,0)</f>
        <v>2</v>
      </c>
    </row>
    <row r="70" spans="1:13" x14ac:dyDescent="0.2">
      <c r="A70" t="s">
        <v>32</v>
      </c>
      <c r="B70" t="s">
        <v>127</v>
      </c>
      <c r="C70" t="s">
        <v>53</v>
      </c>
      <c r="D70" s="17">
        <v>1</v>
      </c>
      <c r="E70" s="6">
        <f>INDEX(Country_Zones!$I$2:$I$12,MATCH(A70,Country_Zones!$A$2:$A$12,0))</f>
        <v>1771</v>
      </c>
      <c r="F70" s="17">
        <f t="shared" si="12"/>
        <v>40.5</v>
      </c>
      <c r="G70" s="17">
        <f t="shared" si="13"/>
        <v>43.728395061728392</v>
      </c>
      <c r="H70" s="6">
        <f t="shared" si="14"/>
        <v>43</v>
      </c>
      <c r="I70" s="9">
        <f t="shared" si="15"/>
        <v>0.72839506172839208</v>
      </c>
      <c r="J70" s="6">
        <f>COUNTIFS($A$2:$A$169,A70,$I$2:$I$169,"&gt;"&amp;I70)+COUNTIFS($A$2:A70,A70,$I$2:I70,I70)</f>
        <v>9</v>
      </c>
      <c r="K70" s="6">
        <f t="shared" si="16"/>
        <v>24</v>
      </c>
      <c r="L70" s="6">
        <f t="shared" si="17"/>
        <v>44</v>
      </c>
      <c r="M70" s="6">
        <f>ROUNDUP(L70/Controls!$B$8,0)</f>
        <v>1</v>
      </c>
    </row>
    <row r="71" spans="1:13" x14ac:dyDescent="0.2">
      <c r="A71" t="s">
        <v>32</v>
      </c>
      <c r="B71" t="s">
        <v>128</v>
      </c>
      <c r="C71" t="s">
        <v>53</v>
      </c>
      <c r="D71" s="17">
        <v>1</v>
      </c>
      <c r="E71" s="6">
        <f>INDEX(Country_Zones!$I$2:$I$12,MATCH(A71,Country_Zones!$A$2:$A$12,0))</f>
        <v>1771</v>
      </c>
      <c r="F71" s="17">
        <f t="shared" si="12"/>
        <v>40.5</v>
      </c>
      <c r="G71" s="17">
        <f t="shared" si="13"/>
        <v>43.728395061728392</v>
      </c>
      <c r="H71" s="6">
        <f t="shared" si="14"/>
        <v>43</v>
      </c>
      <c r="I71" s="9">
        <f t="shared" si="15"/>
        <v>0.72839506172839208</v>
      </c>
      <c r="J71" s="6">
        <f>COUNTIFS($A$2:$A$169,A71,$I$2:$I$169,"&gt;"&amp;I71)+COUNTIFS($A$2:A71,A71,$I$2:I71,I71)</f>
        <v>10</v>
      </c>
      <c r="K71" s="6">
        <f t="shared" si="16"/>
        <v>24</v>
      </c>
      <c r="L71" s="6">
        <f t="shared" si="17"/>
        <v>44</v>
      </c>
      <c r="M71" s="6">
        <f>ROUNDUP(L71/Controls!$B$8,0)</f>
        <v>1</v>
      </c>
    </row>
    <row r="72" spans="1:13" x14ac:dyDescent="0.2">
      <c r="A72" t="s">
        <v>32</v>
      </c>
      <c r="B72" t="s">
        <v>129</v>
      </c>
      <c r="C72" t="s">
        <v>53</v>
      </c>
      <c r="D72" s="17">
        <v>1</v>
      </c>
      <c r="E72" s="6">
        <f>INDEX(Country_Zones!$I$2:$I$12,MATCH(A72,Country_Zones!$A$2:$A$12,0))</f>
        <v>1771</v>
      </c>
      <c r="F72" s="17">
        <f t="shared" si="12"/>
        <v>40.5</v>
      </c>
      <c r="G72" s="17">
        <f t="shared" si="13"/>
        <v>43.728395061728392</v>
      </c>
      <c r="H72" s="6">
        <f t="shared" si="14"/>
        <v>43</v>
      </c>
      <c r="I72" s="9">
        <f t="shared" si="15"/>
        <v>0.72839506172839208</v>
      </c>
      <c r="J72" s="6">
        <f>COUNTIFS($A$2:$A$169,A72,$I$2:$I$169,"&gt;"&amp;I72)+COUNTIFS($A$2:A72,A72,$I$2:I72,I72)</f>
        <v>11</v>
      </c>
      <c r="K72" s="6">
        <f t="shared" si="16"/>
        <v>24</v>
      </c>
      <c r="L72" s="6">
        <f t="shared" si="17"/>
        <v>44</v>
      </c>
      <c r="M72" s="6">
        <f>ROUNDUP(L72/Controls!$B$8,0)</f>
        <v>1</v>
      </c>
    </row>
    <row r="73" spans="1:13" x14ac:dyDescent="0.2">
      <c r="A73" t="s">
        <v>32</v>
      </c>
      <c r="B73" t="s">
        <v>130</v>
      </c>
      <c r="C73" t="s">
        <v>53</v>
      </c>
      <c r="D73" s="17">
        <v>1</v>
      </c>
      <c r="E73" s="6">
        <f>INDEX(Country_Zones!$I$2:$I$12,MATCH(A73,Country_Zones!$A$2:$A$12,0))</f>
        <v>1771</v>
      </c>
      <c r="F73" s="17">
        <f t="shared" si="12"/>
        <v>40.5</v>
      </c>
      <c r="G73" s="17">
        <f t="shared" si="13"/>
        <v>43.728395061728392</v>
      </c>
      <c r="H73" s="6">
        <f t="shared" si="14"/>
        <v>43</v>
      </c>
      <c r="I73" s="9">
        <f t="shared" si="15"/>
        <v>0.72839506172839208</v>
      </c>
      <c r="J73" s="6">
        <f>COUNTIFS($A$2:$A$169,A73,$I$2:$I$169,"&gt;"&amp;I73)+COUNTIFS($A$2:A73,A73,$I$2:I73,I73)</f>
        <v>12</v>
      </c>
      <c r="K73" s="6">
        <f t="shared" si="16"/>
        <v>24</v>
      </c>
      <c r="L73" s="6">
        <f t="shared" si="17"/>
        <v>44</v>
      </c>
      <c r="M73" s="6">
        <f>ROUNDUP(L73/Controls!$B$8,0)</f>
        <v>1</v>
      </c>
    </row>
    <row r="74" spans="1:13" x14ac:dyDescent="0.2">
      <c r="A74" t="s">
        <v>32</v>
      </c>
      <c r="B74" t="s">
        <v>131</v>
      </c>
      <c r="C74" t="s">
        <v>53</v>
      </c>
      <c r="D74" s="17">
        <v>1</v>
      </c>
      <c r="E74" s="6">
        <f>INDEX(Country_Zones!$I$2:$I$12,MATCH(A74,Country_Zones!$A$2:$A$12,0))</f>
        <v>1771</v>
      </c>
      <c r="F74" s="17">
        <f t="shared" si="12"/>
        <v>40.5</v>
      </c>
      <c r="G74" s="17">
        <f t="shared" si="13"/>
        <v>43.728395061728392</v>
      </c>
      <c r="H74" s="6">
        <f t="shared" si="14"/>
        <v>43</v>
      </c>
      <c r="I74" s="9">
        <f t="shared" si="15"/>
        <v>0.72839506172839208</v>
      </c>
      <c r="J74" s="6">
        <f>COUNTIFS($A$2:$A$169,A74,$I$2:$I$169,"&gt;"&amp;I74)+COUNTIFS($A$2:A74,A74,$I$2:I74,I74)</f>
        <v>13</v>
      </c>
      <c r="K74" s="6">
        <f t="shared" si="16"/>
        <v>24</v>
      </c>
      <c r="L74" s="6">
        <f t="shared" si="17"/>
        <v>44</v>
      </c>
      <c r="M74" s="6">
        <f>ROUNDUP(L74/Controls!$B$8,0)</f>
        <v>1</v>
      </c>
    </row>
    <row r="75" spans="1:13" x14ac:dyDescent="0.2">
      <c r="A75" t="s">
        <v>32</v>
      </c>
      <c r="B75" t="s">
        <v>132</v>
      </c>
      <c r="C75" t="s">
        <v>56</v>
      </c>
      <c r="D75" s="17">
        <v>1.5</v>
      </c>
      <c r="E75" s="6">
        <f>INDEX(Country_Zones!$I$2:$I$12,MATCH(A75,Country_Zones!$A$2:$A$12,0))</f>
        <v>1771</v>
      </c>
      <c r="F75" s="17">
        <f t="shared" si="12"/>
        <v>40.5</v>
      </c>
      <c r="G75" s="17">
        <f t="shared" si="13"/>
        <v>65.592592592592595</v>
      </c>
      <c r="H75" s="6">
        <f t="shared" si="14"/>
        <v>65</v>
      </c>
      <c r="I75" s="9">
        <f t="shared" si="15"/>
        <v>0.59259259259259522</v>
      </c>
      <c r="J75" s="6">
        <f>COUNTIFS($A$2:$A$169,A75,$I$2:$I$169,"&gt;"&amp;I75)+COUNTIFS($A$2:A75,A75,$I$2:I75,I75)</f>
        <v>32</v>
      </c>
      <c r="K75" s="6">
        <f t="shared" si="16"/>
        <v>24</v>
      </c>
      <c r="L75" s="6">
        <f t="shared" si="17"/>
        <v>65</v>
      </c>
      <c r="M75" s="6">
        <f>ROUNDUP(L75/Controls!$B$8,0)</f>
        <v>2</v>
      </c>
    </row>
    <row r="76" spans="1:13" x14ac:dyDescent="0.2">
      <c r="A76" t="s">
        <v>32</v>
      </c>
      <c r="B76" t="s">
        <v>133</v>
      </c>
      <c r="C76" t="s">
        <v>56</v>
      </c>
      <c r="D76" s="17">
        <v>1.25</v>
      </c>
      <c r="E76" s="6">
        <f>INDEX(Country_Zones!$I$2:$I$12,MATCH(A76,Country_Zones!$A$2:$A$12,0))</f>
        <v>1771</v>
      </c>
      <c r="F76" s="17">
        <f t="shared" si="12"/>
        <v>40.5</v>
      </c>
      <c r="G76" s="17">
        <f t="shared" si="13"/>
        <v>54.660493827160494</v>
      </c>
      <c r="H76" s="6">
        <f t="shared" si="14"/>
        <v>54</v>
      </c>
      <c r="I76" s="9">
        <f t="shared" si="15"/>
        <v>0.66049382716049365</v>
      </c>
      <c r="J76" s="6">
        <f>COUNTIFS($A$2:$A$169,A76,$I$2:$I$169,"&gt;"&amp;I76)+COUNTIFS($A$2:A76,A76,$I$2:I76,I76)</f>
        <v>27</v>
      </c>
      <c r="K76" s="6">
        <f t="shared" si="16"/>
        <v>24</v>
      </c>
      <c r="L76" s="6">
        <f t="shared" si="17"/>
        <v>54</v>
      </c>
      <c r="M76" s="6">
        <f>ROUNDUP(L76/Controls!$B$8,0)</f>
        <v>2</v>
      </c>
    </row>
    <row r="77" spans="1:13" x14ac:dyDescent="0.2">
      <c r="A77" t="s">
        <v>32</v>
      </c>
      <c r="B77" t="s">
        <v>134</v>
      </c>
      <c r="C77" t="s">
        <v>53</v>
      </c>
      <c r="D77" s="17">
        <v>1</v>
      </c>
      <c r="E77" s="6">
        <f>INDEX(Country_Zones!$I$2:$I$12,MATCH(A77,Country_Zones!$A$2:$A$12,0))</f>
        <v>1771</v>
      </c>
      <c r="F77" s="17">
        <f t="shared" si="12"/>
        <v>40.5</v>
      </c>
      <c r="G77" s="17">
        <f t="shared" si="13"/>
        <v>43.728395061728392</v>
      </c>
      <c r="H77" s="6">
        <f t="shared" si="14"/>
        <v>43</v>
      </c>
      <c r="I77" s="9">
        <f t="shared" si="15"/>
        <v>0.72839506172839208</v>
      </c>
      <c r="J77" s="6">
        <f>COUNTIFS($A$2:$A$169,A77,$I$2:$I$169,"&gt;"&amp;I77)+COUNTIFS($A$2:A77,A77,$I$2:I77,I77)</f>
        <v>14</v>
      </c>
      <c r="K77" s="6">
        <f t="shared" si="16"/>
        <v>24</v>
      </c>
      <c r="L77" s="6">
        <f t="shared" si="17"/>
        <v>44</v>
      </c>
      <c r="M77" s="6">
        <f>ROUNDUP(L77/Controls!$B$8,0)</f>
        <v>1</v>
      </c>
    </row>
    <row r="78" spans="1:13" x14ac:dyDescent="0.2">
      <c r="A78" t="s">
        <v>32</v>
      </c>
      <c r="B78" t="s">
        <v>135</v>
      </c>
      <c r="C78" t="s">
        <v>53</v>
      </c>
      <c r="D78" s="17">
        <v>1</v>
      </c>
      <c r="E78" s="6">
        <f>INDEX(Country_Zones!$I$2:$I$12,MATCH(A78,Country_Zones!$A$2:$A$12,0))</f>
        <v>1771</v>
      </c>
      <c r="F78" s="17">
        <f t="shared" si="12"/>
        <v>40.5</v>
      </c>
      <c r="G78" s="17">
        <f t="shared" si="13"/>
        <v>43.728395061728392</v>
      </c>
      <c r="H78" s="6">
        <f t="shared" si="14"/>
        <v>43</v>
      </c>
      <c r="I78" s="9">
        <f t="shared" si="15"/>
        <v>0.72839506172839208</v>
      </c>
      <c r="J78" s="6">
        <f>COUNTIFS($A$2:$A$169,A78,$I$2:$I$169,"&gt;"&amp;I78)+COUNTIFS($A$2:A78,A78,$I$2:I78,I78)</f>
        <v>15</v>
      </c>
      <c r="K78" s="6">
        <f t="shared" si="16"/>
        <v>24</v>
      </c>
      <c r="L78" s="6">
        <f t="shared" si="17"/>
        <v>44</v>
      </c>
      <c r="M78" s="6">
        <f>ROUNDUP(L78/Controls!$B$8,0)</f>
        <v>1</v>
      </c>
    </row>
    <row r="79" spans="1:13" x14ac:dyDescent="0.2">
      <c r="A79" t="s">
        <v>32</v>
      </c>
      <c r="B79" t="s">
        <v>136</v>
      </c>
      <c r="C79" t="s">
        <v>53</v>
      </c>
      <c r="D79" s="17">
        <v>1</v>
      </c>
      <c r="E79" s="6">
        <f>INDEX(Country_Zones!$I$2:$I$12,MATCH(A79,Country_Zones!$A$2:$A$12,0))</f>
        <v>1771</v>
      </c>
      <c r="F79" s="17">
        <f t="shared" si="12"/>
        <v>40.5</v>
      </c>
      <c r="G79" s="17">
        <f t="shared" si="13"/>
        <v>43.728395061728392</v>
      </c>
      <c r="H79" s="6">
        <f t="shared" si="14"/>
        <v>43</v>
      </c>
      <c r="I79" s="9">
        <f t="shared" si="15"/>
        <v>0.72839506172839208</v>
      </c>
      <c r="J79" s="6">
        <f>COUNTIFS($A$2:$A$169,A79,$I$2:$I$169,"&gt;"&amp;I79)+COUNTIFS($A$2:A79,A79,$I$2:I79,I79)</f>
        <v>16</v>
      </c>
      <c r="K79" s="6">
        <f t="shared" si="16"/>
        <v>24</v>
      </c>
      <c r="L79" s="6">
        <f t="shared" si="17"/>
        <v>44</v>
      </c>
      <c r="M79" s="6">
        <f>ROUNDUP(L79/Controls!$B$8,0)</f>
        <v>1</v>
      </c>
    </row>
    <row r="80" spans="1:13" x14ac:dyDescent="0.2">
      <c r="A80" t="s">
        <v>32</v>
      </c>
      <c r="B80" t="s">
        <v>137</v>
      </c>
      <c r="C80" t="s">
        <v>56</v>
      </c>
      <c r="D80" s="17">
        <v>1.5</v>
      </c>
      <c r="E80" s="6">
        <f>INDEX(Country_Zones!$I$2:$I$12,MATCH(A80,Country_Zones!$A$2:$A$12,0))</f>
        <v>1771</v>
      </c>
      <c r="F80" s="17">
        <f t="shared" si="12"/>
        <v>40.5</v>
      </c>
      <c r="G80" s="17">
        <f t="shared" si="13"/>
        <v>65.592592592592595</v>
      </c>
      <c r="H80" s="6">
        <f t="shared" si="14"/>
        <v>65</v>
      </c>
      <c r="I80" s="9">
        <f t="shared" si="15"/>
        <v>0.59259259259259522</v>
      </c>
      <c r="J80" s="6">
        <f>COUNTIFS($A$2:$A$169,A80,$I$2:$I$169,"&gt;"&amp;I80)+COUNTIFS($A$2:A80,A80,$I$2:I80,I80)</f>
        <v>33</v>
      </c>
      <c r="K80" s="6">
        <f t="shared" si="16"/>
        <v>24</v>
      </c>
      <c r="L80" s="6">
        <f t="shared" si="17"/>
        <v>65</v>
      </c>
      <c r="M80" s="6">
        <f>ROUNDUP(L80/Controls!$B$8,0)</f>
        <v>2</v>
      </c>
    </row>
    <row r="81" spans="1:13" x14ac:dyDescent="0.2">
      <c r="A81" t="s">
        <v>32</v>
      </c>
      <c r="B81" t="s">
        <v>138</v>
      </c>
      <c r="C81" t="s">
        <v>53</v>
      </c>
      <c r="D81" s="17">
        <v>1</v>
      </c>
      <c r="E81" s="6">
        <f>INDEX(Country_Zones!$I$2:$I$12,MATCH(A81,Country_Zones!$A$2:$A$12,0))</f>
        <v>1771</v>
      </c>
      <c r="F81" s="17">
        <f t="shared" si="12"/>
        <v>40.5</v>
      </c>
      <c r="G81" s="17">
        <f t="shared" si="13"/>
        <v>43.728395061728392</v>
      </c>
      <c r="H81" s="6">
        <f t="shared" si="14"/>
        <v>43</v>
      </c>
      <c r="I81" s="9">
        <f t="shared" si="15"/>
        <v>0.72839506172839208</v>
      </c>
      <c r="J81" s="6">
        <f>COUNTIFS($A$2:$A$169,A81,$I$2:$I$169,"&gt;"&amp;I81)+COUNTIFS($A$2:A81,A81,$I$2:I81,I81)</f>
        <v>17</v>
      </c>
      <c r="K81" s="6">
        <f t="shared" si="16"/>
        <v>24</v>
      </c>
      <c r="L81" s="6">
        <f t="shared" si="17"/>
        <v>44</v>
      </c>
      <c r="M81" s="6">
        <f>ROUNDUP(L81/Controls!$B$8,0)</f>
        <v>1</v>
      </c>
    </row>
    <row r="82" spans="1:13" x14ac:dyDescent="0.2">
      <c r="A82" t="s">
        <v>32</v>
      </c>
      <c r="B82" t="s">
        <v>139</v>
      </c>
      <c r="C82" t="s">
        <v>56</v>
      </c>
      <c r="D82" s="17">
        <v>1.25</v>
      </c>
      <c r="E82" s="6">
        <f>INDEX(Country_Zones!$I$2:$I$12,MATCH(A82,Country_Zones!$A$2:$A$12,0))</f>
        <v>1771</v>
      </c>
      <c r="F82" s="17">
        <f t="shared" si="12"/>
        <v>40.5</v>
      </c>
      <c r="G82" s="17">
        <f t="shared" si="13"/>
        <v>54.660493827160494</v>
      </c>
      <c r="H82" s="6">
        <f t="shared" si="14"/>
        <v>54</v>
      </c>
      <c r="I82" s="9">
        <f t="shared" si="15"/>
        <v>0.66049382716049365</v>
      </c>
      <c r="J82" s="6">
        <f>COUNTIFS($A$2:$A$169,A82,$I$2:$I$169,"&gt;"&amp;I82)+COUNTIFS($A$2:A82,A82,$I$2:I82,I82)</f>
        <v>28</v>
      </c>
      <c r="K82" s="6">
        <f t="shared" si="16"/>
        <v>24</v>
      </c>
      <c r="L82" s="6">
        <f t="shared" si="17"/>
        <v>54</v>
      </c>
      <c r="M82" s="6">
        <f>ROUNDUP(L82/Controls!$B$8,0)</f>
        <v>2</v>
      </c>
    </row>
    <row r="83" spans="1:13" x14ac:dyDescent="0.2">
      <c r="A83" t="s">
        <v>32</v>
      </c>
      <c r="B83" t="s">
        <v>140</v>
      </c>
      <c r="C83" t="s">
        <v>53</v>
      </c>
      <c r="D83" s="17">
        <v>1</v>
      </c>
      <c r="E83" s="6">
        <f>INDEX(Country_Zones!$I$2:$I$12,MATCH(A83,Country_Zones!$A$2:$A$12,0))</f>
        <v>1771</v>
      </c>
      <c r="F83" s="17">
        <f t="shared" si="12"/>
        <v>40.5</v>
      </c>
      <c r="G83" s="17">
        <f t="shared" si="13"/>
        <v>43.728395061728392</v>
      </c>
      <c r="H83" s="6">
        <f t="shared" si="14"/>
        <v>43</v>
      </c>
      <c r="I83" s="9">
        <f t="shared" si="15"/>
        <v>0.72839506172839208</v>
      </c>
      <c r="J83" s="6">
        <f>COUNTIFS($A$2:$A$169,A83,$I$2:$I$169,"&gt;"&amp;I83)+COUNTIFS($A$2:A83,A83,$I$2:I83,I83)</f>
        <v>18</v>
      </c>
      <c r="K83" s="6">
        <f t="shared" si="16"/>
        <v>24</v>
      </c>
      <c r="L83" s="6">
        <f t="shared" si="17"/>
        <v>44</v>
      </c>
      <c r="M83" s="6">
        <f>ROUNDUP(L83/Controls!$B$8,0)</f>
        <v>1</v>
      </c>
    </row>
    <row r="84" spans="1:13" x14ac:dyDescent="0.2">
      <c r="A84" t="s">
        <v>32</v>
      </c>
      <c r="B84" t="s">
        <v>141</v>
      </c>
      <c r="C84" t="s">
        <v>53</v>
      </c>
      <c r="D84" s="17">
        <v>1</v>
      </c>
      <c r="E84" s="6">
        <f>INDEX(Country_Zones!$I$2:$I$12,MATCH(A84,Country_Zones!$A$2:$A$12,0))</f>
        <v>1771</v>
      </c>
      <c r="F84" s="17">
        <f t="shared" si="12"/>
        <v>40.5</v>
      </c>
      <c r="G84" s="17">
        <f t="shared" si="13"/>
        <v>43.728395061728392</v>
      </c>
      <c r="H84" s="6">
        <f t="shared" si="14"/>
        <v>43</v>
      </c>
      <c r="I84" s="9">
        <f t="shared" si="15"/>
        <v>0.72839506172839208</v>
      </c>
      <c r="J84" s="6">
        <f>COUNTIFS($A$2:$A$169,A84,$I$2:$I$169,"&gt;"&amp;I84)+COUNTIFS($A$2:A84,A84,$I$2:I84,I84)</f>
        <v>19</v>
      </c>
      <c r="K84" s="6">
        <f t="shared" si="16"/>
        <v>24</v>
      </c>
      <c r="L84" s="6">
        <f t="shared" si="17"/>
        <v>44</v>
      </c>
      <c r="M84" s="6">
        <f>ROUNDUP(L84/Controls!$B$8,0)</f>
        <v>1</v>
      </c>
    </row>
    <row r="85" spans="1:13" x14ac:dyDescent="0.2">
      <c r="A85" t="s">
        <v>32</v>
      </c>
      <c r="B85" t="s">
        <v>142</v>
      </c>
      <c r="C85" t="s">
        <v>53</v>
      </c>
      <c r="D85" s="17">
        <v>1</v>
      </c>
      <c r="E85" s="6">
        <f>INDEX(Country_Zones!$I$2:$I$12,MATCH(A85,Country_Zones!$A$2:$A$12,0))</f>
        <v>1771</v>
      </c>
      <c r="F85" s="17">
        <f t="shared" si="12"/>
        <v>40.5</v>
      </c>
      <c r="G85" s="17">
        <f t="shared" si="13"/>
        <v>43.728395061728392</v>
      </c>
      <c r="H85" s="6">
        <f t="shared" si="14"/>
        <v>43</v>
      </c>
      <c r="I85" s="9">
        <f t="shared" si="15"/>
        <v>0.72839506172839208</v>
      </c>
      <c r="J85" s="6">
        <f>COUNTIFS($A$2:$A$169,A85,$I$2:$I$169,"&gt;"&amp;I85)+COUNTIFS($A$2:A85,A85,$I$2:I85,I85)</f>
        <v>20</v>
      </c>
      <c r="K85" s="6">
        <f t="shared" si="16"/>
        <v>24</v>
      </c>
      <c r="L85" s="6">
        <f t="shared" si="17"/>
        <v>44</v>
      </c>
      <c r="M85" s="6">
        <f>ROUNDUP(L85/Controls!$B$8,0)</f>
        <v>1</v>
      </c>
    </row>
    <row r="86" spans="1:13" x14ac:dyDescent="0.2">
      <c r="A86" t="s">
        <v>32</v>
      </c>
      <c r="B86" t="s">
        <v>143</v>
      </c>
      <c r="C86" t="s">
        <v>53</v>
      </c>
      <c r="D86" s="17">
        <v>1</v>
      </c>
      <c r="E86" s="6">
        <f>INDEX(Country_Zones!$I$2:$I$12,MATCH(A86,Country_Zones!$A$2:$A$12,0))</f>
        <v>1771</v>
      </c>
      <c r="F86" s="17">
        <f t="shared" si="12"/>
        <v>40.5</v>
      </c>
      <c r="G86" s="17">
        <f t="shared" si="13"/>
        <v>43.728395061728392</v>
      </c>
      <c r="H86" s="6">
        <f t="shared" si="14"/>
        <v>43</v>
      </c>
      <c r="I86" s="9">
        <f t="shared" si="15"/>
        <v>0.72839506172839208</v>
      </c>
      <c r="J86" s="6">
        <f>COUNTIFS($A$2:$A$169,A86,$I$2:$I$169,"&gt;"&amp;I86)+COUNTIFS($A$2:A86,A86,$I$2:I86,I86)</f>
        <v>21</v>
      </c>
      <c r="K86" s="6">
        <f t="shared" si="16"/>
        <v>24</v>
      </c>
      <c r="L86" s="6">
        <f t="shared" si="17"/>
        <v>44</v>
      </c>
      <c r="M86" s="6">
        <f>ROUNDUP(L86/Controls!$B$8,0)</f>
        <v>1</v>
      </c>
    </row>
    <row r="87" spans="1:13" x14ac:dyDescent="0.2">
      <c r="A87" t="s">
        <v>32</v>
      </c>
      <c r="B87" t="s">
        <v>144</v>
      </c>
      <c r="C87" t="s">
        <v>56</v>
      </c>
      <c r="D87" s="17">
        <v>1.5</v>
      </c>
      <c r="E87" s="6">
        <f>INDEX(Country_Zones!$I$2:$I$12,MATCH(A87,Country_Zones!$A$2:$A$12,0))</f>
        <v>1771</v>
      </c>
      <c r="F87" s="17">
        <f t="shared" si="12"/>
        <v>40.5</v>
      </c>
      <c r="G87" s="17">
        <f t="shared" si="13"/>
        <v>65.592592592592595</v>
      </c>
      <c r="H87" s="6">
        <f t="shared" si="14"/>
        <v>65</v>
      </c>
      <c r="I87" s="9">
        <f t="shared" si="15"/>
        <v>0.59259259259259522</v>
      </c>
      <c r="J87" s="6">
        <f>COUNTIFS($A$2:$A$169,A87,$I$2:$I$169,"&gt;"&amp;I87)+COUNTIFS($A$2:A87,A87,$I$2:I87,I87)</f>
        <v>34</v>
      </c>
      <c r="K87" s="6">
        <f t="shared" si="16"/>
        <v>24</v>
      </c>
      <c r="L87" s="6">
        <f t="shared" si="17"/>
        <v>65</v>
      </c>
      <c r="M87" s="6">
        <f>ROUNDUP(L87/Controls!$B$8,0)</f>
        <v>2</v>
      </c>
    </row>
    <row r="88" spans="1:13" x14ac:dyDescent="0.2">
      <c r="A88" t="s">
        <v>32</v>
      </c>
      <c r="B88" t="s">
        <v>145</v>
      </c>
      <c r="C88" t="s">
        <v>53</v>
      </c>
      <c r="D88" s="17">
        <v>1</v>
      </c>
      <c r="E88" s="6">
        <f>INDEX(Country_Zones!$I$2:$I$12,MATCH(A88,Country_Zones!$A$2:$A$12,0))</f>
        <v>1771</v>
      </c>
      <c r="F88" s="17">
        <f t="shared" si="12"/>
        <v>40.5</v>
      </c>
      <c r="G88" s="17">
        <f t="shared" si="13"/>
        <v>43.728395061728392</v>
      </c>
      <c r="H88" s="6">
        <f t="shared" si="14"/>
        <v>43</v>
      </c>
      <c r="I88" s="9">
        <f t="shared" si="15"/>
        <v>0.72839506172839208</v>
      </c>
      <c r="J88" s="6">
        <f>COUNTIFS($A$2:$A$169,A88,$I$2:$I$169,"&gt;"&amp;I88)+COUNTIFS($A$2:A88,A88,$I$2:I88,I88)</f>
        <v>22</v>
      </c>
      <c r="K88" s="6">
        <f t="shared" si="16"/>
        <v>24</v>
      </c>
      <c r="L88" s="6">
        <f t="shared" si="17"/>
        <v>44</v>
      </c>
      <c r="M88" s="6">
        <f>ROUNDUP(L88/Controls!$B$8,0)</f>
        <v>1</v>
      </c>
    </row>
    <row r="89" spans="1:13" x14ac:dyDescent="0.2">
      <c r="A89" t="s">
        <v>42</v>
      </c>
      <c r="B89" t="s">
        <v>146</v>
      </c>
      <c r="C89" t="s">
        <v>56</v>
      </c>
      <c r="D89" s="17">
        <v>1.5</v>
      </c>
      <c r="E89" s="6">
        <f>INDEX(Country_Zones!$I$2:$I$12,MATCH(A89,Country_Zones!$A$2:$A$12,0))</f>
        <v>152</v>
      </c>
      <c r="F89" s="17">
        <f t="shared" si="12"/>
        <v>4.75</v>
      </c>
      <c r="G89" s="17">
        <f t="shared" si="13"/>
        <v>48</v>
      </c>
      <c r="H89" s="6">
        <f t="shared" si="14"/>
        <v>48</v>
      </c>
      <c r="I89" s="9">
        <f t="shared" si="15"/>
        <v>0</v>
      </c>
      <c r="J89" s="6">
        <f>COUNTIFS($A$2:$A$169,A89,$I$2:$I$169,"&gt;"&amp;I89)+COUNTIFS($A$2:A89,A89,$I$2:I89,I89)</f>
        <v>1</v>
      </c>
      <c r="K89" s="6">
        <f t="shared" si="16"/>
        <v>0</v>
      </c>
      <c r="L89" s="6">
        <f t="shared" si="17"/>
        <v>48</v>
      </c>
      <c r="M89" s="6">
        <f>ROUNDUP(L89/Controls!$B$8,0)</f>
        <v>1</v>
      </c>
    </row>
    <row r="90" spans="1:13" x14ac:dyDescent="0.2">
      <c r="A90" t="s">
        <v>42</v>
      </c>
      <c r="B90" t="s">
        <v>147</v>
      </c>
      <c r="C90" t="s">
        <v>66</v>
      </c>
      <c r="D90" s="17">
        <v>2</v>
      </c>
      <c r="E90" s="6">
        <f>INDEX(Country_Zones!$I$2:$I$12,MATCH(A90,Country_Zones!$A$2:$A$12,0))</f>
        <v>152</v>
      </c>
      <c r="F90" s="17">
        <f t="shared" si="12"/>
        <v>4.75</v>
      </c>
      <c r="G90" s="17">
        <f t="shared" si="13"/>
        <v>64</v>
      </c>
      <c r="H90" s="6">
        <f t="shared" si="14"/>
        <v>64</v>
      </c>
      <c r="I90" s="9">
        <f t="shared" si="15"/>
        <v>0</v>
      </c>
      <c r="J90" s="6">
        <f>COUNTIFS($A$2:$A$169,A90,$I$2:$I$169,"&gt;"&amp;I90)+COUNTIFS($A$2:A90,A90,$I$2:I90,I90)</f>
        <v>2</v>
      </c>
      <c r="K90" s="6">
        <f t="shared" si="16"/>
        <v>0</v>
      </c>
      <c r="L90" s="6">
        <f t="shared" si="17"/>
        <v>64</v>
      </c>
      <c r="M90" s="6">
        <f>ROUNDUP(L90/Controls!$B$8,0)</f>
        <v>2</v>
      </c>
    </row>
    <row r="91" spans="1:13" x14ac:dyDescent="0.2">
      <c r="A91" t="s">
        <v>42</v>
      </c>
      <c r="B91" t="s">
        <v>148</v>
      </c>
      <c r="C91" t="s">
        <v>56</v>
      </c>
      <c r="D91" s="17">
        <v>1.25</v>
      </c>
      <c r="E91" s="6">
        <f>INDEX(Country_Zones!$I$2:$I$12,MATCH(A91,Country_Zones!$A$2:$A$12,0))</f>
        <v>152</v>
      </c>
      <c r="F91" s="17">
        <f t="shared" si="12"/>
        <v>4.75</v>
      </c>
      <c r="G91" s="17">
        <f t="shared" si="13"/>
        <v>40</v>
      </c>
      <c r="H91" s="6">
        <f t="shared" si="14"/>
        <v>40</v>
      </c>
      <c r="I91" s="9">
        <f t="shared" si="15"/>
        <v>0</v>
      </c>
      <c r="J91" s="6">
        <f>COUNTIFS($A$2:$A$169,A91,$I$2:$I$169,"&gt;"&amp;I91)+COUNTIFS($A$2:A91,A91,$I$2:I91,I91)</f>
        <v>3</v>
      </c>
      <c r="K91" s="6">
        <f t="shared" si="16"/>
        <v>0</v>
      </c>
      <c r="L91" s="6">
        <f t="shared" si="17"/>
        <v>40</v>
      </c>
      <c r="M91" s="6">
        <f>ROUNDUP(L91/Controls!$B$8,0)</f>
        <v>1</v>
      </c>
    </row>
    <row r="92" spans="1:13" x14ac:dyDescent="0.2">
      <c r="A92" t="s">
        <v>36</v>
      </c>
      <c r="B92" t="s">
        <v>149</v>
      </c>
      <c r="C92" t="s">
        <v>66</v>
      </c>
      <c r="D92" s="17">
        <v>2</v>
      </c>
      <c r="E92" s="6">
        <f>INDEX(Country_Zones!$I$2:$I$12,MATCH(A92,Country_Zones!$A$2:$A$12,0))</f>
        <v>658</v>
      </c>
      <c r="F92" s="17">
        <f t="shared" si="12"/>
        <v>16</v>
      </c>
      <c r="G92" s="17">
        <f t="shared" si="13"/>
        <v>82.25</v>
      </c>
      <c r="H92" s="6">
        <f t="shared" si="14"/>
        <v>82</v>
      </c>
      <c r="I92" s="9">
        <f t="shared" si="15"/>
        <v>0.25</v>
      </c>
      <c r="J92" s="6">
        <f>COUNTIFS($A$2:$A$169,A92,$I$2:$I$169,"&gt;"&amp;I92)+COUNTIFS($A$2:A92,A92,$I$2:I92,I92)</f>
        <v>5</v>
      </c>
      <c r="K92" s="6">
        <f t="shared" si="16"/>
        <v>4</v>
      </c>
      <c r="L92" s="6">
        <f t="shared" si="17"/>
        <v>82</v>
      </c>
      <c r="M92" s="6">
        <f>ROUNDUP(L92/Controls!$B$8,0)</f>
        <v>2</v>
      </c>
    </row>
    <row r="93" spans="1:13" x14ac:dyDescent="0.2">
      <c r="A93" t="s">
        <v>36</v>
      </c>
      <c r="B93" t="s">
        <v>150</v>
      </c>
      <c r="C93" t="s">
        <v>53</v>
      </c>
      <c r="D93" s="17">
        <v>1</v>
      </c>
      <c r="E93" s="6">
        <f>INDEX(Country_Zones!$I$2:$I$12,MATCH(A93,Country_Zones!$A$2:$A$12,0))</f>
        <v>658</v>
      </c>
      <c r="F93" s="17">
        <f t="shared" si="12"/>
        <v>16</v>
      </c>
      <c r="G93" s="17">
        <f t="shared" si="13"/>
        <v>41.125</v>
      </c>
      <c r="H93" s="6">
        <f t="shared" si="14"/>
        <v>41</v>
      </c>
      <c r="I93" s="9">
        <f t="shared" si="15"/>
        <v>0.125</v>
      </c>
      <c r="J93" s="6">
        <f>COUNTIFS($A$2:$A$169,A93,$I$2:$I$169,"&gt;"&amp;I93)+COUNTIFS($A$2:A93,A93,$I$2:I93,I93)</f>
        <v>6</v>
      </c>
      <c r="K93" s="6">
        <f t="shared" si="16"/>
        <v>4</v>
      </c>
      <c r="L93" s="6">
        <f t="shared" si="17"/>
        <v>41</v>
      </c>
      <c r="M93" s="6">
        <f>ROUNDUP(L93/Controls!$B$8,0)</f>
        <v>1</v>
      </c>
    </row>
    <row r="94" spans="1:13" x14ac:dyDescent="0.2">
      <c r="A94" t="s">
        <v>36</v>
      </c>
      <c r="B94" t="s">
        <v>151</v>
      </c>
      <c r="C94" t="s">
        <v>56</v>
      </c>
      <c r="D94" s="17">
        <v>1.5</v>
      </c>
      <c r="E94" s="6">
        <f>INDEX(Country_Zones!$I$2:$I$12,MATCH(A94,Country_Zones!$A$2:$A$12,0))</f>
        <v>658</v>
      </c>
      <c r="F94" s="17">
        <f t="shared" si="12"/>
        <v>16</v>
      </c>
      <c r="G94" s="17">
        <f t="shared" si="13"/>
        <v>61.6875</v>
      </c>
      <c r="H94" s="6">
        <f t="shared" si="14"/>
        <v>61</v>
      </c>
      <c r="I94" s="9">
        <f t="shared" si="15"/>
        <v>0.6875</v>
      </c>
      <c r="J94" s="6">
        <f>COUNTIFS($A$2:$A$169,A94,$I$2:$I$169,"&gt;"&amp;I94)+COUNTIFS($A$2:A94,A94,$I$2:I94,I94)</f>
        <v>1</v>
      </c>
      <c r="K94" s="6">
        <f t="shared" si="16"/>
        <v>4</v>
      </c>
      <c r="L94" s="6">
        <f t="shared" si="17"/>
        <v>62</v>
      </c>
      <c r="M94" s="6">
        <f>ROUNDUP(L94/Controls!$B$8,0)</f>
        <v>2</v>
      </c>
    </row>
    <row r="95" spans="1:13" x14ac:dyDescent="0.2">
      <c r="A95" t="s">
        <v>36</v>
      </c>
      <c r="B95" t="s">
        <v>152</v>
      </c>
      <c r="C95" t="s">
        <v>56</v>
      </c>
      <c r="D95" s="17">
        <v>1.5</v>
      </c>
      <c r="E95" s="6">
        <f>INDEX(Country_Zones!$I$2:$I$12,MATCH(A95,Country_Zones!$A$2:$A$12,0))</f>
        <v>658</v>
      </c>
      <c r="F95" s="17">
        <f t="shared" si="12"/>
        <v>16</v>
      </c>
      <c r="G95" s="17">
        <f t="shared" si="13"/>
        <v>61.6875</v>
      </c>
      <c r="H95" s="6">
        <f t="shared" si="14"/>
        <v>61</v>
      </c>
      <c r="I95" s="9">
        <f t="shared" si="15"/>
        <v>0.6875</v>
      </c>
      <c r="J95" s="6">
        <f>COUNTIFS($A$2:$A$169,A95,$I$2:$I$169,"&gt;"&amp;I95)+COUNTIFS($A$2:A95,A95,$I$2:I95,I95)</f>
        <v>2</v>
      </c>
      <c r="K95" s="6">
        <f t="shared" si="16"/>
        <v>4</v>
      </c>
      <c r="L95" s="6">
        <f t="shared" si="17"/>
        <v>62</v>
      </c>
      <c r="M95" s="6">
        <f>ROUNDUP(L95/Controls!$B$8,0)</f>
        <v>2</v>
      </c>
    </row>
    <row r="96" spans="1:13" x14ac:dyDescent="0.2">
      <c r="A96" t="s">
        <v>36</v>
      </c>
      <c r="B96" t="s">
        <v>153</v>
      </c>
      <c r="C96" t="s">
        <v>53</v>
      </c>
      <c r="D96" s="17">
        <v>1</v>
      </c>
      <c r="E96" s="6">
        <f>INDEX(Country_Zones!$I$2:$I$12,MATCH(A96,Country_Zones!$A$2:$A$12,0))</f>
        <v>658</v>
      </c>
      <c r="F96" s="17">
        <f t="shared" si="12"/>
        <v>16</v>
      </c>
      <c r="G96" s="17">
        <f t="shared" si="13"/>
        <v>41.125</v>
      </c>
      <c r="H96" s="6">
        <f t="shared" si="14"/>
        <v>41</v>
      </c>
      <c r="I96" s="9">
        <f t="shared" si="15"/>
        <v>0.125</v>
      </c>
      <c r="J96" s="6">
        <f>COUNTIFS($A$2:$A$169,A96,$I$2:$I$169,"&gt;"&amp;I96)+COUNTIFS($A$2:A96,A96,$I$2:I96,I96)</f>
        <v>7</v>
      </c>
      <c r="K96" s="6">
        <f t="shared" si="16"/>
        <v>4</v>
      </c>
      <c r="L96" s="6">
        <f t="shared" si="17"/>
        <v>41</v>
      </c>
      <c r="M96" s="6">
        <f>ROUNDUP(L96/Controls!$B$8,0)</f>
        <v>1</v>
      </c>
    </row>
    <row r="97" spans="1:13" x14ac:dyDescent="0.2">
      <c r="A97" t="s">
        <v>36</v>
      </c>
      <c r="B97" t="s">
        <v>154</v>
      </c>
      <c r="C97" t="s">
        <v>53</v>
      </c>
      <c r="D97" s="17">
        <v>1</v>
      </c>
      <c r="E97" s="6">
        <f>INDEX(Country_Zones!$I$2:$I$12,MATCH(A97,Country_Zones!$A$2:$A$12,0))</f>
        <v>658</v>
      </c>
      <c r="F97" s="17">
        <f t="shared" si="12"/>
        <v>16</v>
      </c>
      <c r="G97" s="17">
        <f t="shared" si="13"/>
        <v>41.125</v>
      </c>
      <c r="H97" s="6">
        <f t="shared" si="14"/>
        <v>41</v>
      </c>
      <c r="I97" s="9">
        <f t="shared" si="15"/>
        <v>0.125</v>
      </c>
      <c r="J97" s="6">
        <f>COUNTIFS($A$2:$A$169,A97,$I$2:$I$169,"&gt;"&amp;I97)+COUNTIFS($A$2:A97,A97,$I$2:I97,I97)</f>
        <v>8</v>
      </c>
      <c r="K97" s="6">
        <f t="shared" si="16"/>
        <v>4</v>
      </c>
      <c r="L97" s="6">
        <f t="shared" si="17"/>
        <v>41</v>
      </c>
      <c r="M97" s="6">
        <f>ROUNDUP(L97/Controls!$B$8,0)</f>
        <v>1</v>
      </c>
    </row>
    <row r="98" spans="1:13" x14ac:dyDescent="0.2">
      <c r="A98" t="s">
        <v>36</v>
      </c>
      <c r="B98" t="s">
        <v>155</v>
      </c>
      <c r="C98" t="s">
        <v>53</v>
      </c>
      <c r="D98" s="17">
        <v>1</v>
      </c>
      <c r="E98" s="6">
        <f>INDEX(Country_Zones!$I$2:$I$12,MATCH(A98,Country_Zones!$A$2:$A$12,0))</f>
        <v>658</v>
      </c>
      <c r="F98" s="17">
        <f t="shared" ref="F98:F129" si="18">SUMIF($A$2:$A$169,A98,$D$2:$D$169)</f>
        <v>16</v>
      </c>
      <c r="G98" s="17">
        <f t="shared" ref="G98:G129" si="19">E98*(D98/F98)</f>
        <v>41.125</v>
      </c>
      <c r="H98" s="6">
        <f t="shared" ref="H98:H129" si="20">INT(G98)</f>
        <v>41</v>
      </c>
      <c r="I98" s="9">
        <f t="shared" ref="I98:I129" si="21">G98-H98</f>
        <v>0.125</v>
      </c>
      <c r="J98" s="6">
        <f>COUNTIFS($A$2:$A$169,A98,$I$2:$I$169,"&gt;"&amp;I98)+COUNTIFS($A$2:A98,A98,$I$2:I98,I98)</f>
        <v>9</v>
      </c>
      <c r="K98" s="6">
        <f t="shared" ref="K98:K129" si="22">E98-SUMIF($A$2:$A$169,A98,$H$2:$H$169)</f>
        <v>4</v>
      </c>
      <c r="L98" s="6">
        <f t="shared" ref="L98:L129" si="23">H98+IF(J98&lt;=K98,1,0)</f>
        <v>41</v>
      </c>
      <c r="M98" s="6">
        <f>ROUNDUP(L98/Controls!$B$8,0)</f>
        <v>1</v>
      </c>
    </row>
    <row r="99" spans="1:13" x14ac:dyDescent="0.2">
      <c r="A99" t="s">
        <v>36</v>
      </c>
      <c r="B99" t="s">
        <v>156</v>
      </c>
      <c r="C99" t="s">
        <v>53</v>
      </c>
      <c r="D99" s="17">
        <v>1</v>
      </c>
      <c r="E99" s="6">
        <f>INDEX(Country_Zones!$I$2:$I$12,MATCH(A99,Country_Zones!$A$2:$A$12,0))</f>
        <v>658</v>
      </c>
      <c r="F99" s="17">
        <f t="shared" si="18"/>
        <v>16</v>
      </c>
      <c r="G99" s="17">
        <f t="shared" si="19"/>
        <v>41.125</v>
      </c>
      <c r="H99" s="6">
        <f t="shared" si="20"/>
        <v>41</v>
      </c>
      <c r="I99" s="9">
        <f t="shared" si="21"/>
        <v>0.125</v>
      </c>
      <c r="J99" s="6">
        <f>COUNTIFS($A$2:$A$169,A99,$I$2:$I$169,"&gt;"&amp;I99)+COUNTIFS($A$2:A99,A99,$I$2:I99,I99)</f>
        <v>10</v>
      </c>
      <c r="K99" s="6">
        <f t="shared" si="22"/>
        <v>4</v>
      </c>
      <c r="L99" s="6">
        <f t="shared" si="23"/>
        <v>41</v>
      </c>
      <c r="M99" s="6">
        <f>ROUNDUP(L99/Controls!$B$8,0)</f>
        <v>1</v>
      </c>
    </row>
    <row r="100" spans="1:13" x14ac:dyDescent="0.2">
      <c r="A100" t="s">
        <v>36</v>
      </c>
      <c r="B100" t="s">
        <v>157</v>
      </c>
      <c r="C100" t="s">
        <v>53</v>
      </c>
      <c r="D100" s="17">
        <v>1</v>
      </c>
      <c r="E100" s="6">
        <f>INDEX(Country_Zones!$I$2:$I$12,MATCH(A100,Country_Zones!$A$2:$A$12,0))</f>
        <v>658</v>
      </c>
      <c r="F100" s="17">
        <f t="shared" si="18"/>
        <v>16</v>
      </c>
      <c r="G100" s="17">
        <f t="shared" si="19"/>
        <v>41.125</v>
      </c>
      <c r="H100" s="6">
        <f t="shared" si="20"/>
        <v>41</v>
      </c>
      <c r="I100" s="9">
        <f t="shared" si="21"/>
        <v>0.125</v>
      </c>
      <c r="J100" s="6">
        <f>COUNTIFS($A$2:$A$169,A100,$I$2:$I$169,"&gt;"&amp;I100)+COUNTIFS($A$2:A100,A100,$I$2:I100,I100)</f>
        <v>11</v>
      </c>
      <c r="K100" s="6">
        <f t="shared" si="22"/>
        <v>4</v>
      </c>
      <c r="L100" s="6">
        <f t="shared" si="23"/>
        <v>41</v>
      </c>
      <c r="M100" s="6">
        <f>ROUNDUP(L100/Controls!$B$8,0)</f>
        <v>1</v>
      </c>
    </row>
    <row r="101" spans="1:13" x14ac:dyDescent="0.2">
      <c r="A101" t="s">
        <v>36</v>
      </c>
      <c r="B101" t="s">
        <v>158</v>
      </c>
      <c r="C101" t="s">
        <v>56</v>
      </c>
      <c r="D101" s="17">
        <v>1.5</v>
      </c>
      <c r="E101" s="6">
        <f>INDEX(Country_Zones!$I$2:$I$12,MATCH(A101,Country_Zones!$A$2:$A$12,0))</f>
        <v>658</v>
      </c>
      <c r="F101" s="17">
        <f t="shared" si="18"/>
        <v>16</v>
      </c>
      <c r="G101" s="17">
        <f t="shared" si="19"/>
        <v>61.6875</v>
      </c>
      <c r="H101" s="6">
        <f t="shared" si="20"/>
        <v>61</v>
      </c>
      <c r="I101" s="9">
        <f t="shared" si="21"/>
        <v>0.6875</v>
      </c>
      <c r="J101" s="6">
        <f>COUNTIFS($A$2:$A$169,A101,$I$2:$I$169,"&gt;"&amp;I101)+COUNTIFS($A$2:A101,A101,$I$2:I101,I101)</f>
        <v>3</v>
      </c>
      <c r="K101" s="6">
        <f t="shared" si="22"/>
        <v>4</v>
      </c>
      <c r="L101" s="6">
        <f t="shared" si="23"/>
        <v>62</v>
      </c>
      <c r="M101" s="6">
        <f>ROUNDUP(L101/Controls!$B$8,0)</f>
        <v>2</v>
      </c>
    </row>
    <row r="102" spans="1:13" x14ac:dyDescent="0.2">
      <c r="A102" t="s">
        <v>36</v>
      </c>
      <c r="B102" t="s">
        <v>159</v>
      </c>
      <c r="C102" t="s">
        <v>53</v>
      </c>
      <c r="D102" s="17">
        <v>1</v>
      </c>
      <c r="E102" s="6">
        <f>INDEX(Country_Zones!$I$2:$I$12,MATCH(A102,Country_Zones!$A$2:$A$12,0))</f>
        <v>658</v>
      </c>
      <c r="F102" s="17">
        <f t="shared" si="18"/>
        <v>16</v>
      </c>
      <c r="G102" s="17">
        <f t="shared" si="19"/>
        <v>41.125</v>
      </c>
      <c r="H102" s="6">
        <f t="shared" si="20"/>
        <v>41</v>
      </c>
      <c r="I102" s="9">
        <f t="shared" si="21"/>
        <v>0.125</v>
      </c>
      <c r="J102" s="6">
        <f>COUNTIFS($A$2:$A$169,A102,$I$2:$I$169,"&gt;"&amp;I102)+COUNTIFS($A$2:A102,A102,$I$2:I102,I102)</f>
        <v>12</v>
      </c>
      <c r="K102" s="6">
        <f t="shared" si="22"/>
        <v>4</v>
      </c>
      <c r="L102" s="6">
        <f t="shared" si="23"/>
        <v>41</v>
      </c>
      <c r="M102" s="6">
        <f>ROUNDUP(L102/Controls!$B$8,0)</f>
        <v>1</v>
      </c>
    </row>
    <row r="103" spans="1:13" x14ac:dyDescent="0.2">
      <c r="A103" t="s">
        <v>36</v>
      </c>
      <c r="B103" t="s">
        <v>160</v>
      </c>
      <c r="C103" t="s">
        <v>56</v>
      </c>
      <c r="D103" s="17">
        <v>1.5</v>
      </c>
      <c r="E103" s="6">
        <f>INDEX(Country_Zones!$I$2:$I$12,MATCH(A103,Country_Zones!$A$2:$A$12,0))</f>
        <v>658</v>
      </c>
      <c r="F103" s="17">
        <f t="shared" si="18"/>
        <v>16</v>
      </c>
      <c r="G103" s="17">
        <f t="shared" si="19"/>
        <v>61.6875</v>
      </c>
      <c r="H103" s="6">
        <f t="shared" si="20"/>
        <v>61</v>
      </c>
      <c r="I103" s="9">
        <f t="shared" si="21"/>
        <v>0.6875</v>
      </c>
      <c r="J103" s="6">
        <f>COUNTIFS($A$2:$A$169,A103,$I$2:$I$169,"&gt;"&amp;I103)+COUNTIFS($A$2:A103,A103,$I$2:I103,I103)</f>
        <v>4</v>
      </c>
      <c r="K103" s="6">
        <f t="shared" si="22"/>
        <v>4</v>
      </c>
      <c r="L103" s="6">
        <f t="shared" si="23"/>
        <v>62</v>
      </c>
      <c r="M103" s="6">
        <f>ROUNDUP(L103/Controls!$B$8,0)</f>
        <v>2</v>
      </c>
    </row>
    <row r="104" spans="1:13" x14ac:dyDescent="0.2">
      <c r="A104" t="s">
        <v>36</v>
      </c>
      <c r="B104" t="s">
        <v>161</v>
      </c>
      <c r="C104" t="s">
        <v>53</v>
      </c>
      <c r="D104" s="17">
        <v>1</v>
      </c>
      <c r="E104" s="6">
        <f>INDEX(Country_Zones!$I$2:$I$12,MATCH(A104,Country_Zones!$A$2:$A$12,0))</f>
        <v>658</v>
      </c>
      <c r="F104" s="17">
        <f t="shared" si="18"/>
        <v>16</v>
      </c>
      <c r="G104" s="17">
        <f t="shared" si="19"/>
        <v>41.125</v>
      </c>
      <c r="H104" s="6">
        <f t="shared" si="20"/>
        <v>41</v>
      </c>
      <c r="I104" s="9">
        <f t="shared" si="21"/>
        <v>0.125</v>
      </c>
      <c r="J104" s="6">
        <f>COUNTIFS($A$2:$A$169,A104,$I$2:$I$169,"&gt;"&amp;I104)+COUNTIFS($A$2:A104,A104,$I$2:I104,I104)</f>
        <v>13</v>
      </c>
      <c r="K104" s="6">
        <f t="shared" si="22"/>
        <v>4</v>
      </c>
      <c r="L104" s="6">
        <f t="shared" si="23"/>
        <v>41</v>
      </c>
      <c r="M104" s="6">
        <f>ROUNDUP(L104/Controls!$B$8,0)</f>
        <v>1</v>
      </c>
    </row>
    <row r="105" spans="1:13" x14ac:dyDescent="0.2">
      <c r="A105" t="s">
        <v>35</v>
      </c>
      <c r="B105" t="s">
        <v>162</v>
      </c>
      <c r="C105" t="s">
        <v>53</v>
      </c>
      <c r="D105" s="17">
        <v>1</v>
      </c>
      <c r="E105" s="6">
        <f>INDEX(Country_Zones!$I$2:$I$12,MATCH(A105,Country_Zones!$A$2:$A$12,0))</f>
        <v>708</v>
      </c>
      <c r="F105" s="17">
        <f t="shared" si="18"/>
        <v>17.75</v>
      </c>
      <c r="G105" s="17">
        <f t="shared" si="19"/>
        <v>39.887323943661976</v>
      </c>
      <c r="H105" s="6">
        <f t="shared" si="20"/>
        <v>39</v>
      </c>
      <c r="I105" s="9">
        <f t="shared" si="21"/>
        <v>0.88732394366197553</v>
      </c>
      <c r="J105" s="6">
        <f>COUNTIFS($A$2:$A$169,A105,$I$2:$I$169,"&gt;"&amp;I105)+COUNTIFS($A$2:A105,A105,$I$2:I105,I105)</f>
        <v>1</v>
      </c>
      <c r="K105" s="6">
        <f t="shared" si="22"/>
        <v>12</v>
      </c>
      <c r="L105" s="6">
        <f t="shared" si="23"/>
        <v>40</v>
      </c>
      <c r="M105" s="6">
        <f>ROUNDUP(L105/Controls!$B$8,0)</f>
        <v>1</v>
      </c>
    </row>
    <row r="106" spans="1:13" x14ac:dyDescent="0.2">
      <c r="A106" t="s">
        <v>35</v>
      </c>
      <c r="B106" t="s">
        <v>163</v>
      </c>
      <c r="C106" t="s">
        <v>56</v>
      </c>
      <c r="D106" s="17">
        <v>1.25</v>
      </c>
      <c r="E106" s="6">
        <f>INDEX(Country_Zones!$I$2:$I$12,MATCH(A106,Country_Zones!$A$2:$A$12,0))</f>
        <v>708</v>
      </c>
      <c r="F106" s="17">
        <f t="shared" si="18"/>
        <v>17.75</v>
      </c>
      <c r="G106" s="17">
        <f t="shared" si="19"/>
        <v>49.859154929577464</v>
      </c>
      <c r="H106" s="6">
        <f t="shared" si="20"/>
        <v>49</v>
      </c>
      <c r="I106" s="9">
        <f t="shared" si="21"/>
        <v>0.85915492957746409</v>
      </c>
      <c r="J106" s="6">
        <f>COUNTIFS($A$2:$A$169,A106,$I$2:$I$169,"&gt;"&amp;I106)+COUNTIFS($A$2:A106,A106,$I$2:I106,I106)</f>
        <v>9</v>
      </c>
      <c r="K106" s="6">
        <f t="shared" si="22"/>
        <v>12</v>
      </c>
      <c r="L106" s="6">
        <f t="shared" si="23"/>
        <v>50</v>
      </c>
      <c r="M106" s="6">
        <f>ROUNDUP(L106/Controls!$B$8,0)</f>
        <v>1</v>
      </c>
    </row>
    <row r="107" spans="1:13" x14ac:dyDescent="0.2">
      <c r="A107" t="s">
        <v>35</v>
      </c>
      <c r="B107" t="s">
        <v>164</v>
      </c>
      <c r="C107" t="s">
        <v>66</v>
      </c>
      <c r="D107" s="17">
        <v>2</v>
      </c>
      <c r="E107" s="6">
        <f>INDEX(Country_Zones!$I$2:$I$12,MATCH(A107,Country_Zones!$A$2:$A$12,0))</f>
        <v>708</v>
      </c>
      <c r="F107" s="17">
        <f t="shared" si="18"/>
        <v>17.75</v>
      </c>
      <c r="G107" s="17">
        <f t="shared" si="19"/>
        <v>79.774647887323951</v>
      </c>
      <c r="H107" s="6">
        <f t="shared" si="20"/>
        <v>79</v>
      </c>
      <c r="I107" s="9">
        <f t="shared" si="21"/>
        <v>0.77464788732395107</v>
      </c>
      <c r="J107" s="6">
        <f>COUNTIFS($A$2:$A$169,A107,$I$2:$I$169,"&gt;"&amp;I107)+COUNTIFS($A$2:A107,A107,$I$2:I107,I107)</f>
        <v>13</v>
      </c>
      <c r="K107" s="6">
        <f t="shared" si="22"/>
        <v>12</v>
      </c>
      <c r="L107" s="6">
        <f t="shared" si="23"/>
        <v>79</v>
      </c>
      <c r="M107" s="6">
        <f>ROUNDUP(L107/Controls!$B$8,0)</f>
        <v>2</v>
      </c>
    </row>
    <row r="108" spans="1:13" x14ac:dyDescent="0.2">
      <c r="A108" t="s">
        <v>35</v>
      </c>
      <c r="B108" t="s">
        <v>165</v>
      </c>
      <c r="C108" t="s">
        <v>53</v>
      </c>
      <c r="D108" s="17">
        <v>1</v>
      </c>
      <c r="E108" s="6">
        <f>INDEX(Country_Zones!$I$2:$I$12,MATCH(A108,Country_Zones!$A$2:$A$12,0))</f>
        <v>708</v>
      </c>
      <c r="F108" s="17">
        <f t="shared" si="18"/>
        <v>17.75</v>
      </c>
      <c r="G108" s="17">
        <f t="shared" si="19"/>
        <v>39.887323943661976</v>
      </c>
      <c r="H108" s="6">
        <f t="shared" si="20"/>
        <v>39</v>
      </c>
      <c r="I108" s="9">
        <f t="shared" si="21"/>
        <v>0.88732394366197553</v>
      </c>
      <c r="J108" s="6">
        <f>COUNTIFS($A$2:$A$169,A108,$I$2:$I$169,"&gt;"&amp;I108)+COUNTIFS($A$2:A108,A108,$I$2:I108,I108)</f>
        <v>2</v>
      </c>
      <c r="K108" s="6">
        <f t="shared" si="22"/>
        <v>12</v>
      </c>
      <c r="L108" s="6">
        <f t="shared" si="23"/>
        <v>40</v>
      </c>
      <c r="M108" s="6">
        <f>ROUNDUP(L108/Controls!$B$8,0)</f>
        <v>1</v>
      </c>
    </row>
    <row r="109" spans="1:13" x14ac:dyDescent="0.2">
      <c r="A109" t="s">
        <v>35</v>
      </c>
      <c r="B109" t="s">
        <v>166</v>
      </c>
      <c r="C109" t="s">
        <v>53</v>
      </c>
      <c r="D109" s="17">
        <v>1</v>
      </c>
      <c r="E109" s="6">
        <f>INDEX(Country_Zones!$I$2:$I$12,MATCH(A109,Country_Zones!$A$2:$A$12,0))</f>
        <v>708</v>
      </c>
      <c r="F109" s="17">
        <f t="shared" si="18"/>
        <v>17.75</v>
      </c>
      <c r="G109" s="17">
        <f t="shared" si="19"/>
        <v>39.887323943661976</v>
      </c>
      <c r="H109" s="6">
        <f t="shared" si="20"/>
        <v>39</v>
      </c>
      <c r="I109" s="9">
        <f t="shared" si="21"/>
        <v>0.88732394366197553</v>
      </c>
      <c r="J109" s="6">
        <f>COUNTIFS($A$2:$A$169,A109,$I$2:$I$169,"&gt;"&amp;I109)+COUNTIFS($A$2:A109,A109,$I$2:I109,I109)</f>
        <v>3</v>
      </c>
      <c r="K109" s="6">
        <f t="shared" si="22"/>
        <v>12</v>
      </c>
      <c r="L109" s="6">
        <f t="shared" si="23"/>
        <v>40</v>
      </c>
      <c r="M109" s="6">
        <f>ROUNDUP(L109/Controls!$B$8,0)</f>
        <v>1</v>
      </c>
    </row>
    <row r="110" spans="1:13" x14ac:dyDescent="0.2">
      <c r="A110" t="s">
        <v>35</v>
      </c>
      <c r="B110" t="s">
        <v>167</v>
      </c>
      <c r="C110" t="s">
        <v>66</v>
      </c>
      <c r="D110" s="17">
        <v>2</v>
      </c>
      <c r="E110" s="6">
        <f>INDEX(Country_Zones!$I$2:$I$12,MATCH(A110,Country_Zones!$A$2:$A$12,0))</f>
        <v>708</v>
      </c>
      <c r="F110" s="17">
        <f t="shared" si="18"/>
        <v>17.75</v>
      </c>
      <c r="G110" s="17">
        <f t="shared" si="19"/>
        <v>79.774647887323951</v>
      </c>
      <c r="H110" s="6">
        <f t="shared" si="20"/>
        <v>79</v>
      </c>
      <c r="I110" s="9">
        <f t="shared" si="21"/>
        <v>0.77464788732395107</v>
      </c>
      <c r="J110" s="6">
        <f>COUNTIFS($A$2:$A$169,A110,$I$2:$I$169,"&gt;"&amp;I110)+COUNTIFS($A$2:A110,A110,$I$2:I110,I110)</f>
        <v>14</v>
      </c>
      <c r="K110" s="6">
        <f t="shared" si="22"/>
        <v>12</v>
      </c>
      <c r="L110" s="6">
        <f t="shared" si="23"/>
        <v>79</v>
      </c>
      <c r="M110" s="6">
        <f>ROUNDUP(L110/Controls!$B$8,0)</f>
        <v>2</v>
      </c>
    </row>
    <row r="111" spans="1:13" x14ac:dyDescent="0.2">
      <c r="A111" t="s">
        <v>35</v>
      </c>
      <c r="B111" t="s">
        <v>168</v>
      </c>
      <c r="C111" t="s">
        <v>53</v>
      </c>
      <c r="D111" s="17">
        <v>1</v>
      </c>
      <c r="E111" s="6">
        <f>INDEX(Country_Zones!$I$2:$I$12,MATCH(A111,Country_Zones!$A$2:$A$12,0))</f>
        <v>708</v>
      </c>
      <c r="F111" s="17">
        <f t="shared" si="18"/>
        <v>17.75</v>
      </c>
      <c r="G111" s="17">
        <f t="shared" si="19"/>
        <v>39.887323943661976</v>
      </c>
      <c r="H111" s="6">
        <f t="shared" si="20"/>
        <v>39</v>
      </c>
      <c r="I111" s="9">
        <f t="shared" si="21"/>
        <v>0.88732394366197553</v>
      </c>
      <c r="J111" s="6">
        <f>COUNTIFS($A$2:$A$169,A111,$I$2:$I$169,"&gt;"&amp;I111)+COUNTIFS($A$2:A111,A111,$I$2:I111,I111)</f>
        <v>4</v>
      </c>
      <c r="K111" s="6">
        <f t="shared" si="22"/>
        <v>12</v>
      </c>
      <c r="L111" s="6">
        <f t="shared" si="23"/>
        <v>40</v>
      </c>
      <c r="M111" s="6">
        <f>ROUNDUP(L111/Controls!$B$8,0)</f>
        <v>1</v>
      </c>
    </row>
    <row r="112" spans="1:13" x14ac:dyDescent="0.2">
      <c r="A112" t="s">
        <v>35</v>
      </c>
      <c r="B112" t="s">
        <v>169</v>
      </c>
      <c r="C112" t="s">
        <v>53</v>
      </c>
      <c r="D112" s="17">
        <v>1</v>
      </c>
      <c r="E112" s="6">
        <f>INDEX(Country_Zones!$I$2:$I$12,MATCH(A112,Country_Zones!$A$2:$A$12,0))</f>
        <v>708</v>
      </c>
      <c r="F112" s="17">
        <f t="shared" si="18"/>
        <v>17.75</v>
      </c>
      <c r="G112" s="17">
        <f t="shared" si="19"/>
        <v>39.887323943661976</v>
      </c>
      <c r="H112" s="6">
        <f t="shared" si="20"/>
        <v>39</v>
      </c>
      <c r="I112" s="9">
        <f t="shared" si="21"/>
        <v>0.88732394366197553</v>
      </c>
      <c r="J112" s="6">
        <f>COUNTIFS($A$2:$A$169,A112,$I$2:$I$169,"&gt;"&amp;I112)+COUNTIFS($A$2:A112,A112,$I$2:I112,I112)</f>
        <v>5</v>
      </c>
      <c r="K112" s="6">
        <f t="shared" si="22"/>
        <v>12</v>
      </c>
      <c r="L112" s="6">
        <f t="shared" si="23"/>
        <v>40</v>
      </c>
      <c r="M112" s="6">
        <f>ROUNDUP(L112/Controls!$B$8,0)</f>
        <v>1</v>
      </c>
    </row>
    <row r="113" spans="1:13" x14ac:dyDescent="0.2">
      <c r="A113" t="s">
        <v>35</v>
      </c>
      <c r="B113" t="s">
        <v>170</v>
      </c>
      <c r="C113" t="s">
        <v>56</v>
      </c>
      <c r="D113" s="17">
        <v>1.5</v>
      </c>
      <c r="E113" s="6">
        <f>INDEX(Country_Zones!$I$2:$I$12,MATCH(A113,Country_Zones!$A$2:$A$12,0))</f>
        <v>708</v>
      </c>
      <c r="F113" s="17">
        <f t="shared" si="18"/>
        <v>17.75</v>
      </c>
      <c r="G113" s="17">
        <f t="shared" si="19"/>
        <v>59.83098591549296</v>
      </c>
      <c r="H113" s="6">
        <f t="shared" si="20"/>
        <v>59</v>
      </c>
      <c r="I113" s="9">
        <f t="shared" si="21"/>
        <v>0.83098591549295975</v>
      </c>
      <c r="J113" s="6">
        <f>COUNTIFS($A$2:$A$169,A113,$I$2:$I$169,"&gt;"&amp;I113)+COUNTIFS($A$2:A113,A113,$I$2:I113,I113)</f>
        <v>10</v>
      </c>
      <c r="K113" s="6">
        <f t="shared" si="22"/>
        <v>12</v>
      </c>
      <c r="L113" s="6">
        <f t="shared" si="23"/>
        <v>60</v>
      </c>
      <c r="M113" s="6">
        <f>ROUNDUP(L113/Controls!$B$8,0)</f>
        <v>2</v>
      </c>
    </row>
    <row r="114" spans="1:13" x14ac:dyDescent="0.2">
      <c r="A114" t="s">
        <v>35</v>
      </c>
      <c r="B114" t="s">
        <v>171</v>
      </c>
      <c r="C114" t="s">
        <v>53</v>
      </c>
      <c r="D114" s="17">
        <v>1</v>
      </c>
      <c r="E114" s="6">
        <f>INDEX(Country_Zones!$I$2:$I$12,MATCH(A114,Country_Zones!$A$2:$A$12,0))</f>
        <v>708</v>
      </c>
      <c r="F114" s="17">
        <f t="shared" si="18"/>
        <v>17.75</v>
      </c>
      <c r="G114" s="17">
        <f t="shared" si="19"/>
        <v>39.887323943661976</v>
      </c>
      <c r="H114" s="6">
        <f t="shared" si="20"/>
        <v>39</v>
      </c>
      <c r="I114" s="9">
        <f t="shared" si="21"/>
        <v>0.88732394366197553</v>
      </c>
      <c r="J114" s="6">
        <f>COUNTIFS($A$2:$A$169,A114,$I$2:$I$169,"&gt;"&amp;I114)+COUNTIFS($A$2:A114,A114,$I$2:I114,I114)</f>
        <v>6</v>
      </c>
      <c r="K114" s="6">
        <f t="shared" si="22"/>
        <v>12</v>
      </c>
      <c r="L114" s="6">
        <f t="shared" si="23"/>
        <v>40</v>
      </c>
      <c r="M114" s="6">
        <f>ROUNDUP(L114/Controls!$B$8,0)</f>
        <v>1</v>
      </c>
    </row>
    <row r="115" spans="1:13" x14ac:dyDescent="0.2">
      <c r="A115" t="s">
        <v>35</v>
      </c>
      <c r="B115" t="s">
        <v>172</v>
      </c>
      <c r="C115" t="s">
        <v>53</v>
      </c>
      <c r="D115" s="17">
        <v>1</v>
      </c>
      <c r="E115" s="6">
        <f>INDEX(Country_Zones!$I$2:$I$12,MATCH(A115,Country_Zones!$A$2:$A$12,0))</f>
        <v>708</v>
      </c>
      <c r="F115" s="17">
        <f t="shared" si="18"/>
        <v>17.75</v>
      </c>
      <c r="G115" s="17">
        <f t="shared" si="19"/>
        <v>39.887323943661976</v>
      </c>
      <c r="H115" s="6">
        <f t="shared" si="20"/>
        <v>39</v>
      </c>
      <c r="I115" s="9">
        <f t="shared" si="21"/>
        <v>0.88732394366197553</v>
      </c>
      <c r="J115" s="6">
        <f>COUNTIFS($A$2:$A$169,A115,$I$2:$I$169,"&gt;"&amp;I115)+COUNTIFS($A$2:A115,A115,$I$2:I115,I115)</f>
        <v>7</v>
      </c>
      <c r="K115" s="6">
        <f t="shared" si="22"/>
        <v>12</v>
      </c>
      <c r="L115" s="6">
        <f t="shared" si="23"/>
        <v>40</v>
      </c>
      <c r="M115" s="6">
        <f>ROUNDUP(L115/Controls!$B$8,0)</f>
        <v>1</v>
      </c>
    </row>
    <row r="116" spans="1:13" x14ac:dyDescent="0.2">
      <c r="A116" t="s">
        <v>35</v>
      </c>
      <c r="B116" t="s">
        <v>173</v>
      </c>
      <c r="C116" t="s">
        <v>56</v>
      </c>
      <c r="D116" s="17">
        <v>1.5</v>
      </c>
      <c r="E116" s="6">
        <f>INDEX(Country_Zones!$I$2:$I$12,MATCH(A116,Country_Zones!$A$2:$A$12,0))</f>
        <v>708</v>
      </c>
      <c r="F116" s="17">
        <f t="shared" si="18"/>
        <v>17.75</v>
      </c>
      <c r="G116" s="17">
        <f t="shared" si="19"/>
        <v>59.83098591549296</v>
      </c>
      <c r="H116" s="6">
        <f t="shared" si="20"/>
        <v>59</v>
      </c>
      <c r="I116" s="9">
        <f t="shared" si="21"/>
        <v>0.83098591549295975</v>
      </c>
      <c r="J116" s="6">
        <f>COUNTIFS($A$2:$A$169,A116,$I$2:$I$169,"&gt;"&amp;I116)+COUNTIFS($A$2:A116,A116,$I$2:I116,I116)</f>
        <v>11</v>
      </c>
      <c r="K116" s="6">
        <f t="shared" si="22"/>
        <v>12</v>
      </c>
      <c r="L116" s="6">
        <f t="shared" si="23"/>
        <v>60</v>
      </c>
      <c r="M116" s="6">
        <f>ROUNDUP(L116/Controls!$B$8,0)</f>
        <v>2</v>
      </c>
    </row>
    <row r="117" spans="1:13" x14ac:dyDescent="0.2">
      <c r="A117" t="s">
        <v>35</v>
      </c>
      <c r="B117" t="s">
        <v>174</v>
      </c>
      <c r="C117" t="s">
        <v>56</v>
      </c>
      <c r="D117" s="17">
        <v>1.5</v>
      </c>
      <c r="E117" s="6">
        <f>INDEX(Country_Zones!$I$2:$I$12,MATCH(A117,Country_Zones!$A$2:$A$12,0))</f>
        <v>708</v>
      </c>
      <c r="F117" s="17">
        <f t="shared" si="18"/>
        <v>17.75</v>
      </c>
      <c r="G117" s="17">
        <f t="shared" si="19"/>
        <v>59.83098591549296</v>
      </c>
      <c r="H117" s="6">
        <f t="shared" si="20"/>
        <v>59</v>
      </c>
      <c r="I117" s="9">
        <f t="shared" si="21"/>
        <v>0.83098591549295975</v>
      </c>
      <c r="J117" s="6">
        <f>COUNTIFS($A$2:$A$169,A117,$I$2:$I$169,"&gt;"&amp;I117)+COUNTIFS($A$2:A117,A117,$I$2:I117,I117)</f>
        <v>12</v>
      </c>
      <c r="K117" s="6">
        <f t="shared" si="22"/>
        <v>12</v>
      </c>
      <c r="L117" s="6">
        <f t="shared" si="23"/>
        <v>60</v>
      </c>
      <c r="M117" s="6">
        <f>ROUNDUP(L117/Controls!$B$8,0)</f>
        <v>2</v>
      </c>
    </row>
    <row r="118" spans="1:13" x14ac:dyDescent="0.2">
      <c r="A118" t="s">
        <v>35</v>
      </c>
      <c r="B118" t="s">
        <v>175</v>
      </c>
      <c r="C118" t="s">
        <v>53</v>
      </c>
      <c r="D118" s="17">
        <v>1</v>
      </c>
      <c r="E118" s="6">
        <f>INDEX(Country_Zones!$I$2:$I$12,MATCH(A118,Country_Zones!$A$2:$A$12,0))</f>
        <v>708</v>
      </c>
      <c r="F118" s="17">
        <f t="shared" si="18"/>
        <v>17.75</v>
      </c>
      <c r="G118" s="17">
        <f t="shared" si="19"/>
        <v>39.887323943661976</v>
      </c>
      <c r="H118" s="6">
        <f t="shared" si="20"/>
        <v>39</v>
      </c>
      <c r="I118" s="9">
        <f t="shared" si="21"/>
        <v>0.88732394366197553</v>
      </c>
      <c r="J118" s="6">
        <f>COUNTIFS($A$2:$A$169,A118,$I$2:$I$169,"&gt;"&amp;I118)+COUNTIFS($A$2:A118,A118,$I$2:I118,I118)</f>
        <v>8</v>
      </c>
      <c r="K118" s="6">
        <f t="shared" si="22"/>
        <v>12</v>
      </c>
      <c r="L118" s="6">
        <f t="shared" si="23"/>
        <v>40</v>
      </c>
      <c r="M118" s="6">
        <f>ROUNDUP(L118/Controls!$B$8,0)</f>
        <v>1</v>
      </c>
    </row>
    <row r="119" spans="1:13" x14ac:dyDescent="0.2">
      <c r="A119" t="s">
        <v>37</v>
      </c>
      <c r="B119" t="s">
        <v>176</v>
      </c>
      <c r="C119" t="s">
        <v>56</v>
      </c>
      <c r="D119" s="17">
        <v>1.5</v>
      </c>
      <c r="E119" s="6">
        <f>INDEX(Country_Zones!$I$2:$I$12,MATCH(A119,Country_Zones!$A$2:$A$12,0))</f>
        <v>556</v>
      </c>
      <c r="F119" s="17">
        <f t="shared" si="18"/>
        <v>14.25</v>
      </c>
      <c r="G119" s="17">
        <f t="shared" si="19"/>
        <v>58.526315789473678</v>
      </c>
      <c r="H119" s="6">
        <f t="shared" si="20"/>
        <v>58</v>
      </c>
      <c r="I119" s="9">
        <f t="shared" si="21"/>
        <v>0.52631578947367785</v>
      </c>
      <c r="J119" s="6">
        <f>COUNTIFS($A$2:$A$169,A119,$I$2:$I$169,"&gt;"&amp;I119)+COUNTIFS($A$2:A119,A119,$I$2:I119,I119)</f>
        <v>2</v>
      </c>
      <c r="K119" s="6">
        <f t="shared" si="22"/>
        <v>3</v>
      </c>
      <c r="L119" s="6">
        <f t="shared" si="23"/>
        <v>59</v>
      </c>
      <c r="M119" s="6">
        <f>ROUNDUP(L119/Controls!$B$8,0)</f>
        <v>2</v>
      </c>
    </row>
    <row r="120" spans="1:13" x14ac:dyDescent="0.2">
      <c r="A120" t="s">
        <v>37</v>
      </c>
      <c r="B120" t="s">
        <v>177</v>
      </c>
      <c r="C120" t="s">
        <v>53</v>
      </c>
      <c r="D120" s="17">
        <v>1</v>
      </c>
      <c r="E120" s="6">
        <f>INDEX(Country_Zones!$I$2:$I$12,MATCH(A120,Country_Zones!$A$2:$A$12,0))</f>
        <v>556</v>
      </c>
      <c r="F120" s="17">
        <f t="shared" si="18"/>
        <v>14.25</v>
      </c>
      <c r="G120" s="17">
        <f t="shared" si="19"/>
        <v>39.017543859649123</v>
      </c>
      <c r="H120" s="6">
        <f t="shared" si="20"/>
        <v>39</v>
      </c>
      <c r="I120" s="9">
        <f t="shared" si="21"/>
        <v>1.7543859649123306E-2</v>
      </c>
      <c r="J120" s="6">
        <f>COUNTIFS($A$2:$A$169,A120,$I$2:$I$169,"&gt;"&amp;I120)+COUNTIFS($A$2:A120,A120,$I$2:I120,I120)</f>
        <v>7</v>
      </c>
      <c r="K120" s="6">
        <f t="shared" si="22"/>
        <v>3</v>
      </c>
      <c r="L120" s="6">
        <f t="shared" si="23"/>
        <v>39</v>
      </c>
      <c r="M120" s="6">
        <f>ROUNDUP(L120/Controls!$B$8,0)</f>
        <v>1</v>
      </c>
    </row>
    <row r="121" spans="1:13" x14ac:dyDescent="0.2">
      <c r="A121" t="s">
        <v>37</v>
      </c>
      <c r="B121" t="s">
        <v>178</v>
      </c>
      <c r="C121" t="s">
        <v>56</v>
      </c>
      <c r="D121" s="17">
        <v>1.5</v>
      </c>
      <c r="E121" s="6">
        <f>INDEX(Country_Zones!$I$2:$I$12,MATCH(A121,Country_Zones!$A$2:$A$12,0))</f>
        <v>556</v>
      </c>
      <c r="F121" s="17">
        <f t="shared" si="18"/>
        <v>14.25</v>
      </c>
      <c r="G121" s="17">
        <f t="shared" si="19"/>
        <v>58.526315789473678</v>
      </c>
      <c r="H121" s="6">
        <f t="shared" si="20"/>
        <v>58</v>
      </c>
      <c r="I121" s="9">
        <f t="shared" si="21"/>
        <v>0.52631578947367785</v>
      </c>
      <c r="J121" s="6">
        <f>COUNTIFS($A$2:$A$169,A121,$I$2:$I$169,"&gt;"&amp;I121)+COUNTIFS($A$2:A121,A121,$I$2:I121,I121)</f>
        <v>3</v>
      </c>
      <c r="K121" s="6">
        <f t="shared" si="22"/>
        <v>3</v>
      </c>
      <c r="L121" s="6">
        <f t="shared" si="23"/>
        <v>59</v>
      </c>
      <c r="M121" s="6">
        <f>ROUNDUP(L121/Controls!$B$8,0)</f>
        <v>2</v>
      </c>
    </row>
    <row r="122" spans="1:13" x14ac:dyDescent="0.2">
      <c r="A122" t="s">
        <v>37</v>
      </c>
      <c r="B122" t="s">
        <v>179</v>
      </c>
      <c r="C122" t="s">
        <v>53</v>
      </c>
      <c r="D122" s="17">
        <v>1</v>
      </c>
      <c r="E122" s="6">
        <f>INDEX(Country_Zones!$I$2:$I$12,MATCH(A122,Country_Zones!$A$2:$A$12,0))</f>
        <v>556</v>
      </c>
      <c r="F122" s="17">
        <f t="shared" si="18"/>
        <v>14.25</v>
      </c>
      <c r="G122" s="17">
        <f t="shared" si="19"/>
        <v>39.017543859649123</v>
      </c>
      <c r="H122" s="6">
        <f t="shared" si="20"/>
        <v>39</v>
      </c>
      <c r="I122" s="9">
        <f t="shared" si="21"/>
        <v>1.7543859649123306E-2</v>
      </c>
      <c r="J122" s="6">
        <f>COUNTIFS($A$2:$A$169,A122,$I$2:$I$169,"&gt;"&amp;I122)+COUNTIFS($A$2:A122,A122,$I$2:I122,I122)</f>
        <v>8</v>
      </c>
      <c r="K122" s="6">
        <f t="shared" si="22"/>
        <v>3</v>
      </c>
      <c r="L122" s="6">
        <f t="shared" si="23"/>
        <v>39</v>
      </c>
      <c r="M122" s="6">
        <f>ROUNDUP(L122/Controls!$B$8,0)</f>
        <v>1</v>
      </c>
    </row>
    <row r="123" spans="1:13" x14ac:dyDescent="0.2">
      <c r="A123" t="s">
        <v>37</v>
      </c>
      <c r="B123" t="s">
        <v>180</v>
      </c>
      <c r="C123" t="s">
        <v>56</v>
      </c>
      <c r="D123" s="17">
        <v>1.5</v>
      </c>
      <c r="E123" s="6">
        <f>INDEX(Country_Zones!$I$2:$I$12,MATCH(A123,Country_Zones!$A$2:$A$12,0))</f>
        <v>556</v>
      </c>
      <c r="F123" s="17">
        <f t="shared" si="18"/>
        <v>14.25</v>
      </c>
      <c r="G123" s="17">
        <f t="shared" si="19"/>
        <v>58.526315789473678</v>
      </c>
      <c r="H123" s="6">
        <f t="shared" si="20"/>
        <v>58</v>
      </c>
      <c r="I123" s="9">
        <f t="shared" si="21"/>
        <v>0.52631578947367785</v>
      </c>
      <c r="J123" s="6">
        <f>COUNTIFS($A$2:$A$169,A123,$I$2:$I$169,"&gt;"&amp;I123)+COUNTIFS($A$2:A123,A123,$I$2:I123,I123)</f>
        <v>4</v>
      </c>
      <c r="K123" s="6">
        <f t="shared" si="22"/>
        <v>3</v>
      </c>
      <c r="L123" s="6">
        <f t="shared" si="23"/>
        <v>58</v>
      </c>
      <c r="M123" s="6">
        <f>ROUNDUP(L123/Controls!$B$8,0)</f>
        <v>2</v>
      </c>
    </row>
    <row r="124" spans="1:13" x14ac:dyDescent="0.2">
      <c r="A124" t="s">
        <v>37</v>
      </c>
      <c r="B124" t="s">
        <v>181</v>
      </c>
      <c r="C124" t="s">
        <v>53</v>
      </c>
      <c r="D124" s="17">
        <v>1</v>
      </c>
      <c r="E124" s="6">
        <f>INDEX(Country_Zones!$I$2:$I$12,MATCH(A124,Country_Zones!$A$2:$A$12,0))</f>
        <v>556</v>
      </c>
      <c r="F124" s="17">
        <f t="shared" si="18"/>
        <v>14.25</v>
      </c>
      <c r="G124" s="17">
        <f t="shared" si="19"/>
        <v>39.017543859649123</v>
      </c>
      <c r="H124" s="6">
        <f t="shared" si="20"/>
        <v>39</v>
      </c>
      <c r="I124" s="9">
        <f t="shared" si="21"/>
        <v>1.7543859649123306E-2</v>
      </c>
      <c r="J124" s="6">
        <f>COUNTIFS($A$2:$A$169,A124,$I$2:$I$169,"&gt;"&amp;I124)+COUNTIFS($A$2:A124,A124,$I$2:I124,I124)</f>
        <v>9</v>
      </c>
      <c r="K124" s="6">
        <f t="shared" si="22"/>
        <v>3</v>
      </c>
      <c r="L124" s="6">
        <f t="shared" si="23"/>
        <v>39</v>
      </c>
      <c r="M124" s="6">
        <f>ROUNDUP(L124/Controls!$B$8,0)</f>
        <v>1</v>
      </c>
    </row>
    <row r="125" spans="1:13" x14ac:dyDescent="0.2">
      <c r="A125" t="s">
        <v>37</v>
      </c>
      <c r="B125" t="s">
        <v>182</v>
      </c>
      <c r="C125" t="s">
        <v>56</v>
      </c>
      <c r="D125" s="17">
        <v>1.5</v>
      </c>
      <c r="E125" s="6">
        <f>INDEX(Country_Zones!$I$2:$I$12,MATCH(A125,Country_Zones!$A$2:$A$12,0))</f>
        <v>556</v>
      </c>
      <c r="F125" s="17">
        <f t="shared" si="18"/>
        <v>14.25</v>
      </c>
      <c r="G125" s="17">
        <f t="shared" si="19"/>
        <v>58.526315789473678</v>
      </c>
      <c r="H125" s="6">
        <f t="shared" si="20"/>
        <v>58</v>
      </c>
      <c r="I125" s="9">
        <f t="shared" si="21"/>
        <v>0.52631578947367785</v>
      </c>
      <c r="J125" s="6">
        <f>COUNTIFS($A$2:$A$169,A125,$I$2:$I$169,"&gt;"&amp;I125)+COUNTIFS($A$2:A125,A125,$I$2:I125,I125)</f>
        <v>5</v>
      </c>
      <c r="K125" s="6">
        <f t="shared" si="22"/>
        <v>3</v>
      </c>
      <c r="L125" s="6">
        <f t="shared" si="23"/>
        <v>58</v>
      </c>
      <c r="M125" s="6">
        <f>ROUNDUP(L125/Controls!$B$8,0)</f>
        <v>2</v>
      </c>
    </row>
    <row r="126" spans="1:13" x14ac:dyDescent="0.2">
      <c r="A126" t="s">
        <v>37</v>
      </c>
      <c r="B126" t="s">
        <v>183</v>
      </c>
      <c r="C126" t="s">
        <v>53</v>
      </c>
      <c r="D126" s="17">
        <v>1</v>
      </c>
      <c r="E126" s="6">
        <f>INDEX(Country_Zones!$I$2:$I$12,MATCH(A126,Country_Zones!$A$2:$A$12,0))</f>
        <v>556</v>
      </c>
      <c r="F126" s="17">
        <f t="shared" si="18"/>
        <v>14.25</v>
      </c>
      <c r="G126" s="17">
        <f t="shared" si="19"/>
        <v>39.017543859649123</v>
      </c>
      <c r="H126" s="6">
        <f t="shared" si="20"/>
        <v>39</v>
      </c>
      <c r="I126" s="9">
        <f t="shared" si="21"/>
        <v>1.7543859649123306E-2</v>
      </c>
      <c r="J126" s="6">
        <f>COUNTIFS($A$2:$A$169,A126,$I$2:$I$169,"&gt;"&amp;I126)+COUNTIFS($A$2:A126,A126,$I$2:I126,I126)</f>
        <v>10</v>
      </c>
      <c r="K126" s="6">
        <f t="shared" si="22"/>
        <v>3</v>
      </c>
      <c r="L126" s="6">
        <f t="shared" si="23"/>
        <v>39</v>
      </c>
      <c r="M126" s="6">
        <f>ROUNDUP(L126/Controls!$B$8,0)</f>
        <v>1</v>
      </c>
    </row>
    <row r="127" spans="1:13" x14ac:dyDescent="0.2">
      <c r="A127" t="s">
        <v>37</v>
      </c>
      <c r="B127" t="s">
        <v>184</v>
      </c>
      <c r="C127" t="s">
        <v>53</v>
      </c>
      <c r="D127" s="17">
        <v>1</v>
      </c>
      <c r="E127" s="6">
        <f>INDEX(Country_Zones!$I$2:$I$12,MATCH(A127,Country_Zones!$A$2:$A$12,0))</f>
        <v>556</v>
      </c>
      <c r="F127" s="17">
        <f t="shared" si="18"/>
        <v>14.25</v>
      </c>
      <c r="G127" s="17">
        <f t="shared" si="19"/>
        <v>39.017543859649123</v>
      </c>
      <c r="H127" s="6">
        <f t="shared" si="20"/>
        <v>39</v>
      </c>
      <c r="I127" s="9">
        <f t="shared" si="21"/>
        <v>1.7543859649123306E-2</v>
      </c>
      <c r="J127" s="6">
        <f>COUNTIFS($A$2:$A$169,A127,$I$2:$I$169,"&gt;"&amp;I127)+COUNTIFS($A$2:A127,A127,$I$2:I127,I127)</f>
        <v>11</v>
      </c>
      <c r="K127" s="6">
        <f t="shared" si="22"/>
        <v>3</v>
      </c>
      <c r="L127" s="6">
        <f t="shared" si="23"/>
        <v>39</v>
      </c>
      <c r="M127" s="6">
        <f>ROUNDUP(L127/Controls!$B$8,0)</f>
        <v>1</v>
      </c>
    </row>
    <row r="128" spans="1:13" x14ac:dyDescent="0.2">
      <c r="A128" t="s">
        <v>37</v>
      </c>
      <c r="B128" t="s">
        <v>185</v>
      </c>
      <c r="C128" t="s">
        <v>56</v>
      </c>
      <c r="D128" s="17">
        <v>1.25</v>
      </c>
      <c r="E128" s="6">
        <f>INDEX(Country_Zones!$I$2:$I$12,MATCH(A128,Country_Zones!$A$2:$A$12,0))</f>
        <v>556</v>
      </c>
      <c r="F128" s="17">
        <f t="shared" si="18"/>
        <v>14.25</v>
      </c>
      <c r="G128" s="17">
        <f t="shared" si="19"/>
        <v>48.771929824561404</v>
      </c>
      <c r="H128" s="6">
        <f t="shared" si="20"/>
        <v>48</v>
      </c>
      <c r="I128" s="9">
        <f t="shared" si="21"/>
        <v>0.77192982456140413</v>
      </c>
      <c r="J128" s="6">
        <f>COUNTIFS($A$2:$A$169,A128,$I$2:$I$169,"&gt;"&amp;I128)+COUNTIFS($A$2:A128,A128,$I$2:I128,I128)</f>
        <v>1</v>
      </c>
      <c r="K128" s="6">
        <f t="shared" si="22"/>
        <v>3</v>
      </c>
      <c r="L128" s="6">
        <f t="shared" si="23"/>
        <v>49</v>
      </c>
      <c r="M128" s="6">
        <f>ROUNDUP(L128/Controls!$B$8,0)</f>
        <v>1</v>
      </c>
    </row>
    <row r="129" spans="1:13" x14ac:dyDescent="0.2">
      <c r="A129" t="s">
        <v>37</v>
      </c>
      <c r="B129" t="s">
        <v>186</v>
      </c>
      <c r="C129" t="s">
        <v>66</v>
      </c>
      <c r="D129" s="17">
        <v>2</v>
      </c>
      <c r="E129" s="6">
        <f>INDEX(Country_Zones!$I$2:$I$12,MATCH(A129,Country_Zones!$A$2:$A$12,0))</f>
        <v>556</v>
      </c>
      <c r="F129" s="17">
        <f t="shared" si="18"/>
        <v>14.25</v>
      </c>
      <c r="G129" s="17">
        <f t="shared" si="19"/>
        <v>78.035087719298247</v>
      </c>
      <c r="H129" s="6">
        <f t="shared" si="20"/>
        <v>78</v>
      </c>
      <c r="I129" s="9">
        <f t="shared" si="21"/>
        <v>3.5087719298246611E-2</v>
      </c>
      <c r="J129" s="6">
        <f>COUNTIFS($A$2:$A$169,A129,$I$2:$I$169,"&gt;"&amp;I129)+COUNTIFS($A$2:A129,A129,$I$2:I129,I129)</f>
        <v>6</v>
      </c>
      <c r="K129" s="6">
        <f t="shared" si="22"/>
        <v>3</v>
      </c>
      <c r="L129" s="6">
        <f t="shared" si="23"/>
        <v>78</v>
      </c>
      <c r="M129" s="6">
        <f>ROUNDUP(L129/Controls!$B$8,0)</f>
        <v>2</v>
      </c>
    </row>
    <row r="130" spans="1:13" x14ac:dyDescent="0.2">
      <c r="A130" t="s">
        <v>30</v>
      </c>
      <c r="B130" t="s">
        <v>187</v>
      </c>
      <c r="C130" t="s">
        <v>53</v>
      </c>
      <c r="D130" s="17">
        <v>1</v>
      </c>
      <c r="E130" s="6">
        <f>INDEX(Country_Zones!$I$2:$I$12,MATCH(A130,Country_Zones!$A$2:$A$12,0))</f>
        <v>2024</v>
      </c>
      <c r="F130" s="17">
        <f t="shared" ref="F130:F161" si="24">SUMIF($A$2:$A$169,A130,$D$2:$D$169)</f>
        <v>45</v>
      </c>
      <c r="G130" s="17">
        <f t="shared" ref="G130:G161" si="25">E130*(D130/F130)</f>
        <v>44.977777777777781</v>
      </c>
      <c r="H130" s="6">
        <f t="shared" ref="H130:H161" si="26">INT(G130)</f>
        <v>44</v>
      </c>
      <c r="I130" s="9">
        <f t="shared" ref="I130:I161" si="27">G130-H130</f>
        <v>0.97777777777778141</v>
      </c>
      <c r="J130" s="6">
        <f>COUNTIFS($A$2:$A$169,A130,$I$2:$I$169,"&gt;"&amp;I130)+COUNTIFS($A$2:A130,A130,$I$2:I130,I130)</f>
        <v>1</v>
      </c>
      <c r="K130" s="6">
        <f t="shared" ref="K130:K161" si="28">E130-SUMIF($A$2:$A$169,A130,$H$2:$H$169)</f>
        <v>32</v>
      </c>
      <c r="L130" s="6">
        <f t="shared" ref="L130:L161" si="29">H130+IF(J130&lt;=K130,1,0)</f>
        <v>45</v>
      </c>
      <c r="M130" s="6">
        <f>ROUNDUP(L130/Controls!$B$8,0)</f>
        <v>1</v>
      </c>
    </row>
    <row r="131" spans="1:13" x14ac:dyDescent="0.2">
      <c r="A131" t="s">
        <v>30</v>
      </c>
      <c r="B131" t="s">
        <v>188</v>
      </c>
      <c r="C131" t="s">
        <v>53</v>
      </c>
      <c r="D131" s="17">
        <v>1</v>
      </c>
      <c r="E131" s="6">
        <f>INDEX(Country_Zones!$I$2:$I$12,MATCH(A131,Country_Zones!$A$2:$A$12,0))</f>
        <v>2024</v>
      </c>
      <c r="F131" s="17">
        <f t="shared" si="24"/>
        <v>45</v>
      </c>
      <c r="G131" s="17">
        <f t="shared" si="25"/>
        <v>44.977777777777781</v>
      </c>
      <c r="H131" s="6">
        <f t="shared" si="26"/>
        <v>44</v>
      </c>
      <c r="I131" s="9">
        <f t="shared" si="27"/>
        <v>0.97777777777778141</v>
      </c>
      <c r="J131" s="6">
        <f>COUNTIFS($A$2:$A$169,A131,$I$2:$I$169,"&gt;"&amp;I131)+COUNTIFS($A$2:A131,A131,$I$2:I131,I131)</f>
        <v>2</v>
      </c>
      <c r="K131" s="6">
        <f t="shared" si="28"/>
        <v>32</v>
      </c>
      <c r="L131" s="6">
        <f t="shared" si="29"/>
        <v>45</v>
      </c>
      <c r="M131" s="6">
        <f>ROUNDUP(L131/Controls!$B$8,0)</f>
        <v>1</v>
      </c>
    </row>
    <row r="132" spans="1:13" x14ac:dyDescent="0.2">
      <c r="A132" t="s">
        <v>30</v>
      </c>
      <c r="B132" t="s">
        <v>189</v>
      </c>
      <c r="C132" t="s">
        <v>53</v>
      </c>
      <c r="D132" s="17">
        <v>1</v>
      </c>
      <c r="E132" s="6">
        <f>INDEX(Country_Zones!$I$2:$I$12,MATCH(A132,Country_Zones!$A$2:$A$12,0))</f>
        <v>2024</v>
      </c>
      <c r="F132" s="17">
        <f t="shared" si="24"/>
        <v>45</v>
      </c>
      <c r="G132" s="17">
        <f t="shared" si="25"/>
        <v>44.977777777777781</v>
      </c>
      <c r="H132" s="6">
        <f t="shared" si="26"/>
        <v>44</v>
      </c>
      <c r="I132" s="9">
        <f t="shared" si="27"/>
        <v>0.97777777777778141</v>
      </c>
      <c r="J132" s="6">
        <f>COUNTIFS($A$2:$A$169,A132,$I$2:$I$169,"&gt;"&amp;I132)+COUNTIFS($A$2:A132,A132,$I$2:I132,I132)</f>
        <v>3</v>
      </c>
      <c r="K132" s="6">
        <f t="shared" si="28"/>
        <v>32</v>
      </c>
      <c r="L132" s="6">
        <f t="shared" si="29"/>
        <v>45</v>
      </c>
      <c r="M132" s="6">
        <f>ROUNDUP(L132/Controls!$B$8,0)</f>
        <v>1</v>
      </c>
    </row>
    <row r="133" spans="1:13" x14ac:dyDescent="0.2">
      <c r="A133" t="s">
        <v>30</v>
      </c>
      <c r="B133" t="s">
        <v>190</v>
      </c>
      <c r="C133" t="s">
        <v>53</v>
      </c>
      <c r="D133" s="17">
        <v>1</v>
      </c>
      <c r="E133" s="6">
        <f>INDEX(Country_Zones!$I$2:$I$12,MATCH(A133,Country_Zones!$A$2:$A$12,0))</f>
        <v>2024</v>
      </c>
      <c r="F133" s="17">
        <f t="shared" si="24"/>
        <v>45</v>
      </c>
      <c r="G133" s="17">
        <f t="shared" si="25"/>
        <v>44.977777777777781</v>
      </c>
      <c r="H133" s="6">
        <f t="shared" si="26"/>
        <v>44</v>
      </c>
      <c r="I133" s="9">
        <f t="shared" si="27"/>
        <v>0.97777777777778141</v>
      </c>
      <c r="J133" s="6">
        <f>COUNTIFS($A$2:$A$169,A133,$I$2:$I$169,"&gt;"&amp;I133)+COUNTIFS($A$2:A133,A133,$I$2:I133,I133)</f>
        <v>4</v>
      </c>
      <c r="K133" s="6">
        <f t="shared" si="28"/>
        <v>32</v>
      </c>
      <c r="L133" s="6">
        <f t="shared" si="29"/>
        <v>45</v>
      </c>
      <c r="M133" s="6">
        <f>ROUNDUP(L133/Controls!$B$8,0)</f>
        <v>1</v>
      </c>
    </row>
    <row r="134" spans="1:13" x14ac:dyDescent="0.2">
      <c r="A134" t="s">
        <v>30</v>
      </c>
      <c r="B134" t="s">
        <v>191</v>
      </c>
      <c r="C134" t="s">
        <v>56</v>
      </c>
      <c r="D134" s="17">
        <v>1.5</v>
      </c>
      <c r="E134" s="6">
        <f>INDEX(Country_Zones!$I$2:$I$12,MATCH(A134,Country_Zones!$A$2:$A$12,0))</f>
        <v>2024</v>
      </c>
      <c r="F134" s="17">
        <f t="shared" si="24"/>
        <v>45</v>
      </c>
      <c r="G134" s="17">
        <f t="shared" si="25"/>
        <v>67.466666666666669</v>
      </c>
      <c r="H134" s="6">
        <f t="shared" si="26"/>
        <v>67</v>
      </c>
      <c r="I134" s="9">
        <f t="shared" si="27"/>
        <v>0.46666666666666856</v>
      </c>
      <c r="J134" s="6">
        <f>COUNTIFS($A$2:$A$169,A134,$I$2:$I$169,"&gt;"&amp;I134)+COUNTIFS($A$2:A134,A134,$I$2:I134,I134)</f>
        <v>30</v>
      </c>
      <c r="K134" s="6">
        <f t="shared" si="28"/>
        <v>32</v>
      </c>
      <c r="L134" s="6">
        <f t="shared" si="29"/>
        <v>68</v>
      </c>
      <c r="M134" s="6">
        <f>ROUNDUP(L134/Controls!$B$8,0)</f>
        <v>2</v>
      </c>
    </row>
    <row r="135" spans="1:13" x14ac:dyDescent="0.2">
      <c r="A135" t="s">
        <v>30</v>
      </c>
      <c r="B135" t="s">
        <v>192</v>
      </c>
      <c r="C135" t="s">
        <v>53</v>
      </c>
      <c r="D135" s="17">
        <v>1</v>
      </c>
      <c r="E135" s="6">
        <f>INDEX(Country_Zones!$I$2:$I$12,MATCH(A135,Country_Zones!$A$2:$A$12,0))</f>
        <v>2024</v>
      </c>
      <c r="F135" s="17">
        <f t="shared" si="24"/>
        <v>45</v>
      </c>
      <c r="G135" s="17">
        <f t="shared" si="25"/>
        <v>44.977777777777781</v>
      </c>
      <c r="H135" s="6">
        <f t="shared" si="26"/>
        <v>44</v>
      </c>
      <c r="I135" s="9">
        <f t="shared" si="27"/>
        <v>0.97777777777778141</v>
      </c>
      <c r="J135" s="6">
        <f>COUNTIFS($A$2:$A$169,A135,$I$2:$I$169,"&gt;"&amp;I135)+COUNTIFS($A$2:A135,A135,$I$2:I135,I135)</f>
        <v>5</v>
      </c>
      <c r="K135" s="6">
        <f t="shared" si="28"/>
        <v>32</v>
      </c>
      <c r="L135" s="6">
        <f t="shared" si="29"/>
        <v>45</v>
      </c>
      <c r="M135" s="6">
        <f>ROUNDUP(L135/Controls!$B$8,0)</f>
        <v>1</v>
      </c>
    </row>
    <row r="136" spans="1:13" x14ac:dyDescent="0.2">
      <c r="A136" t="s">
        <v>30</v>
      </c>
      <c r="B136" t="s">
        <v>193</v>
      </c>
      <c r="C136" t="s">
        <v>56</v>
      </c>
      <c r="D136" s="17">
        <v>1.25</v>
      </c>
      <c r="E136" s="6">
        <f>INDEX(Country_Zones!$I$2:$I$12,MATCH(A136,Country_Zones!$A$2:$A$12,0))</f>
        <v>2024</v>
      </c>
      <c r="F136" s="17">
        <f t="shared" si="24"/>
        <v>45</v>
      </c>
      <c r="G136" s="17">
        <f t="shared" si="25"/>
        <v>56.222222222222221</v>
      </c>
      <c r="H136" s="6">
        <f t="shared" si="26"/>
        <v>56</v>
      </c>
      <c r="I136" s="9">
        <f t="shared" si="27"/>
        <v>0.22222222222222143</v>
      </c>
      <c r="J136" s="6">
        <f>COUNTIFS($A$2:$A$169,A136,$I$2:$I$169,"&gt;"&amp;I136)+COUNTIFS($A$2:A136,A136,$I$2:I136,I136)</f>
        <v>35</v>
      </c>
      <c r="K136" s="6">
        <f t="shared" si="28"/>
        <v>32</v>
      </c>
      <c r="L136" s="6">
        <f t="shared" si="29"/>
        <v>56</v>
      </c>
      <c r="M136" s="6">
        <f>ROUNDUP(L136/Controls!$B$8,0)</f>
        <v>2</v>
      </c>
    </row>
    <row r="137" spans="1:13" x14ac:dyDescent="0.2">
      <c r="A137" t="s">
        <v>30</v>
      </c>
      <c r="B137" t="s">
        <v>194</v>
      </c>
      <c r="C137" t="s">
        <v>53</v>
      </c>
      <c r="D137" s="17">
        <v>1</v>
      </c>
      <c r="E137" s="6">
        <f>INDEX(Country_Zones!$I$2:$I$12,MATCH(A137,Country_Zones!$A$2:$A$12,0))</f>
        <v>2024</v>
      </c>
      <c r="F137" s="17">
        <f t="shared" si="24"/>
        <v>45</v>
      </c>
      <c r="G137" s="17">
        <f t="shared" si="25"/>
        <v>44.977777777777781</v>
      </c>
      <c r="H137" s="6">
        <f t="shared" si="26"/>
        <v>44</v>
      </c>
      <c r="I137" s="9">
        <f t="shared" si="27"/>
        <v>0.97777777777778141</v>
      </c>
      <c r="J137" s="6">
        <f>COUNTIFS($A$2:$A$169,A137,$I$2:$I$169,"&gt;"&amp;I137)+COUNTIFS($A$2:A137,A137,$I$2:I137,I137)</f>
        <v>6</v>
      </c>
      <c r="K137" s="6">
        <f t="shared" si="28"/>
        <v>32</v>
      </c>
      <c r="L137" s="6">
        <f t="shared" si="29"/>
        <v>45</v>
      </c>
      <c r="M137" s="6">
        <f>ROUNDUP(L137/Controls!$B$8,0)</f>
        <v>1</v>
      </c>
    </row>
    <row r="138" spans="1:13" x14ac:dyDescent="0.2">
      <c r="A138" t="s">
        <v>30</v>
      </c>
      <c r="B138" t="s">
        <v>195</v>
      </c>
      <c r="C138" t="s">
        <v>56</v>
      </c>
      <c r="D138" s="17">
        <v>1.25</v>
      </c>
      <c r="E138" s="6">
        <f>INDEX(Country_Zones!$I$2:$I$12,MATCH(A138,Country_Zones!$A$2:$A$12,0))</f>
        <v>2024</v>
      </c>
      <c r="F138" s="17">
        <f t="shared" si="24"/>
        <v>45</v>
      </c>
      <c r="G138" s="17">
        <f t="shared" si="25"/>
        <v>56.222222222222221</v>
      </c>
      <c r="H138" s="6">
        <f t="shared" si="26"/>
        <v>56</v>
      </c>
      <c r="I138" s="9">
        <f t="shared" si="27"/>
        <v>0.22222222222222143</v>
      </c>
      <c r="J138" s="6">
        <f>COUNTIFS($A$2:$A$169,A138,$I$2:$I$169,"&gt;"&amp;I138)+COUNTIFS($A$2:A138,A138,$I$2:I138,I138)</f>
        <v>36</v>
      </c>
      <c r="K138" s="6">
        <f t="shared" si="28"/>
        <v>32</v>
      </c>
      <c r="L138" s="6">
        <f t="shared" si="29"/>
        <v>56</v>
      </c>
      <c r="M138" s="6">
        <f>ROUNDUP(L138/Controls!$B$8,0)</f>
        <v>2</v>
      </c>
    </row>
    <row r="139" spans="1:13" x14ac:dyDescent="0.2">
      <c r="A139" t="s">
        <v>30</v>
      </c>
      <c r="B139" t="s">
        <v>196</v>
      </c>
      <c r="C139" t="s">
        <v>53</v>
      </c>
      <c r="D139" s="17">
        <v>1</v>
      </c>
      <c r="E139" s="6">
        <f>INDEX(Country_Zones!$I$2:$I$12,MATCH(A139,Country_Zones!$A$2:$A$12,0))</f>
        <v>2024</v>
      </c>
      <c r="F139" s="17">
        <f t="shared" si="24"/>
        <v>45</v>
      </c>
      <c r="G139" s="17">
        <f t="shared" si="25"/>
        <v>44.977777777777781</v>
      </c>
      <c r="H139" s="6">
        <f t="shared" si="26"/>
        <v>44</v>
      </c>
      <c r="I139" s="9">
        <f t="shared" si="27"/>
        <v>0.97777777777778141</v>
      </c>
      <c r="J139" s="6">
        <f>COUNTIFS($A$2:$A$169,A139,$I$2:$I$169,"&gt;"&amp;I139)+COUNTIFS($A$2:A139,A139,$I$2:I139,I139)</f>
        <v>7</v>
      </c>
      <c r="K139" s="6">
        <f t="shared" si="28"/>
        <v>32</v>
      </c>
      <c r="L139" s="6">
        <f t="shared" si="29"/>
        <v>45</v>
      </c>
      <c r="M139" s="6">
        <f>ROUNDUP(L139/Controls!$B$8,0)</f>
        <v>1</v>
      </c>
    </row>
    <row r="140" spans="1:13" x14ac:dyDescent="0.2">
      <c r="A140" t="s">
        <v>30</v>
      </c>
      <c r="B140" t="s">
        <v>197</v>
      </c>
      <c r="C140" t="s">
        <v>53</v>
      </c>
      <c r="D140" s="17">
        <v>1</v>
      </c>
      <c r="E140" s="6">
        <f>INDEX(Country_Zones!$I$2:$I$12,MATCH(A140,Country_Zones!$A$2:$A$12,0))</f>
        <v>2024</v>
      </c>
      <c r="F140" s="17">
        <f t="shared" si="24"/>
        <v>45</v>
      </c>
      <c r="G140" s="17">
        <f t="shared" si="25"/>
        <v>44.977777777777781</v>
      </c>
      <c r="H140" s="6">
        <f t="shared" si="26"/>
        <v>44</v>
      </c>
      <c r="I140" s="9">
        <f t="shared" si="27"/>
        <v>0.97777777777778141</v>
      </c>
      <c r="J140" s="6">
        <f>COUNTIFS($A$2:$A$169,A140,$I$2:$I$169,"&gt;"&amp;I140)+COUNTIFS($A$2:A140,A140,$I$2:I140,I140)</f>
        <v>8</v>
      </c>
      <c r="K140" s="6">
        <f t="shared" si="28"/>
        <v>32</v>
      </c>
      <c r="L140" s="6">
        <f t="shared" si="29"/>
        <v>45</v>
      </c>
      <c r="M140" s="6">
        <f>ROUNDUP(L140/Controls!$B$8,0)</f>
        <v>1</v>
      </c>
    </row>
    <row r="141" spans="1:13" x14ac:dyDescent="0.2">
      <c r="A141" t="s">
        <v>30</v>
      </c>
      <c r="B141" t="s">
        <v>198</v>
      </c>
      <c r="C141" t="s">
        <v>53</v>
      </c>
      <c r="D141" s="17">
        <v>1</v>
      </c>
      <c r="E141" s="6">
        <f>INDEX(Country_Zones!$I$2:$I$12,MATCH(A141,Country_Zones!$A$2:$A$12,0))</f>
        <v>2024</v>
      </c>
      <c r="F141" s="17">
        <f t="shared" si="24"/>
        <v>45</v>
      </c>
      <c r="G141" s="17">
        <f t="shared" si="25"/>
        <v>44.977777777777781</v>
      </c>
      <c r="H141" s="6">
        <f t="shared" si="26"/>
        <v>44</v>
      </c>
      <c r="I141" s="9">
        <f t="shared" si="27"/>
        <v>0.97777777777778141</v>
      </c>
      <c r="J141" s="6">
        <f>COUNTIFS($A$2:$A$169,A141,$I$2:$I$169,"&gt;"&amp;I141)+COUNTIFS($A$2:A141,A141,$I$2:I141,I141)</f>
        <v>9</v>
      </c>
      <c r="K141" s="6">
        <f t="shared" si="28"/>
        <v>32</v>
      </c>
      <c r="L141" s="6">
        <f t="shared" si="29"/>
        <v>45</v>
      </c>
      <c r="M141" s="6">
        <f>ROUNDUP(L141/Controls!$B$8,0)</f>
        <v>1</v>
      </c>
    </row>
    <row r="142" spans="1:13" x14ac:dyDescent="0.2">
      <c r="A142" t="s">
        <v>30</v>
      </c>
      <c r="B142" t="s">
        <v>199</v>
      </c>
      <c r="C142" t="s">
        <v>53</v>
      </c>
      <c r="D142" s="17">
        <v>1</v>
      </c>
      <c r="E142" s="6">
        <f>INDEX(Country_Zones!$I$2:$I$12,MATCH(A142,Country_Zones!$A$2:$A$12,0))</f>
        <v>2024</v>
      </c>
      <c r="F142" s="17">
        <f t="shared" si="24"/>
        <v>45</v>
      </c>
      <c r="G142" s="17">
        <f t="shared" si="25"/>
        <v>44.977777777777781</v>
      </c>
      <c r="H142" s="6">
        <f t="shared" si="26"/>
        <v>44</v>
      </c>
      <c r="I142" s="9">
        <f t="shared" si="27"/>
        <v>0.97777777777778141</v>
      </c>
      <c r="J142" s="6">
        <f>COUNTIFS($A$2:$A$169,A142,$I$2:$I$169,"&gt;"&amp;I142)+COUNTIFS($A$2:A142,A142,$I$2:I142,I142)</f>
        <v>10</v>
      </c>
      <c r="K142" s="6">
        <f t="shared" si="28"/>
        <v>32</v>
      </c>
      <c r="L142" s="6">
        <f t="shared" si="29"/>
        <v>45</v>
      </c>
      <c r="M142" s="6">
        <f>ROUNDUP(L142/Controls!$B$8,0)</f>
        <v>1</v>
      </c>
    </row>
    <row r="143" spans="1:13" x14ac:dyDescent="0.2">
      <c r="A143" t="s">
        <v>30</v>
      </c>
      <c r="B143" t="s">
        <v>200</v>
      </c>
      <c r="C143" t="s">
        <v>56</v>
      </c>
      <c r="D143" s="17">
        <v>1.5</v>
      </c>
      <c r="E143" s="6">
        <f>INDEX(Country_Zones!$I$2:$I$12,MATCH(A143,Country_Zones!$A$2:$A$12,0))</f>
        <v>2024</v>
      </c>
      <c r="F143" s="17">
        <f t="shared" si="24"/>
        <v>45</v>
      </c>
      <c r="G143" s="17">
        <f t="shared" si="25"/>
        <v>67.466666666666669</v>
      </c>
      <c r="H143" s="6">
        <f t="shared" si="26"/>
        <v>67</v>
      </c>
      <c r="I143" s="9">
        <f t="shared" si="27"/>
        <v>0.46666666666666856</v>
      </c>
      <c r="J143" s="6">
        <f>COUNTIFS($A$2:$A$169,A143,$I$2:$I$169,"&gt;"&amp;I143)+COUNTIFS($A$2:A143,A143,$I$2:I143,I143)</f>
        <v>31</v>
      </c>
      <c r="K143" s="6">
        <f t="shared" si="28"/>
        <v>32</v>
      </c>
      <c r="L143" s="6">
        <f t="shared" si="29"/>
        <v>68</v>
      </c>
      <c r="M143" s="6">
        <f>ROUNDUP(L143/Controls!$B$8,0)</f>
        <v>2</v>
      </c>
    </row>
    <row r="144" spans="1:13" x14ac:dyDescent="0.2">
      <c r="A144" t="s">
        <v>30</v>
      </c>
      <c r="B144" t="s">
        <v>201</v>
      </c>
      <c r="C144" t="s">
        <v>53</v>
      </c>
      <c r="D144" s="17">
        <v>1</v>
      </c>
      <c r="E144" s="6">
        <f>INDEX(Country_Zones!$I$2:$I$12,MATCH(A144,Country_Zones!$A$2:$A$12,0))</f>
        <v>2024</v>
      </c>
      <c r="F144" s="17">
        <f t="shared" si="24"/>
        <v>45</v>
      </c>
      <c r="G144" s="17">
        <f t="shared" si="25"/>
        <v>44.977777777777781</v>
      </c>
      <c r="H144" s="6">
        <f t="shared" si="26"/>
        <v>44</v>
      </c>
      <c r="I144" s="9">
        <f t="shared" si="27"/>
        <v>0.97777777777778141</v>
      </c>
      <c r="J144" s="6">
        <f>COUNTIFS($A$2:$A$169,A144,$I$2:$I$169,"&gt;"&amp;I144)+COUNTIFS($A$2:A144,A144,$I$2:I144,I144)</f>
        <v>11</v>
      </c>
      <c r="K144" s="6">
        <f t="shared" si="28"/>
        <v>32</v>
      </c>
      <c r="L144" s="6">
        <f t="shared" si="29"/>
        <v>45</v>
      </c>
      <c r="M144" s="6">
        <f>ROUNDUP(L144/Controls!$B$8,0)</f>
        <v>1</v>
      </c>
    </row>
    <row r="145" spans="1:13" x14ac:dyDescent="0.2">
      <c r="A145" t="s">
        <v>30</v>
      </c>
      <c r="B145" t="s">
        <v>202</v>
      </c>
      <c r="C145" t="s">
        <v>53</v>
      </c>
      <c r="D145" s="17">
        <v>1</v>
      </c>
      <c r="E145" s="6">
        <f>INDEX(Country_Zones!$I$2:$I$12,MATCH(A145,Country_Zones!$A$2:$A$12,0))</f>
        <v>2024</v>
      </c>
      <c r="F145" s="17">
        <f t="shared" si="24"/>
        <v>45</v>
      </c>
      <c r="G145" s="17">
        <f t="shared" si="25"/>
        <v>44.977777777777781</v>
      </c>
      <c r="H145" s="6">
        <f t="shared" si="26"/>
        <v>44</v>
      </c>
      <c r="I145" s="9">
        <f t="shared" si="27"/>
        <v>0.97777777777778141</v>
      </c>
      <c r="J145" s="6">
        <f>COUNTIFS($A$2:$A$169,A145,$I$2:$I$169,"&gt;"&amp;I145)+COUNTIFS($A$2:A145,A145,$I$2:I145,I145)</f>
        <v>12</v>
      </c>
      <c r="K145" s="6">
        <f t="shared" si="28"/>
        <v>32</v>
      </c>
      <c r="L145" s="6">
        <f t="shared" si="29"/>
        <v>45</v>
      </c>
      <c r="M145" s="6">
        <f>ROUNDUP(L145/Controls!$B$8,0)</f>
        <v>1</v>
      </c>
    </row>
    <row r="146" spans="1:13" x14ac:dyDescent="0.2">
      <c r="A146" t="s">
        <v>30</v>
      </c>
      <c r="B146" t="s">
        <v>203</v>
      </c>
      <c r="C146" t="s">
        <v>56</v>
      </c>
      <c r="D146" s="17">
        <v>1.5</v>
      </c>
      <c r="E146" s="6">
        <f>INDEX(Country_Zones!$I$2:$I$12,MATCH(A146,Country_Zones!$A$2:$A$12,0))</f>
        <v>2024</v>
      </c>
      <c r="F146" s="17">
        <f t="shared" si="24"/>
        <v>45</v>
      </c>
      <c r="G146" s="17">
        <f t="shared" si="25"/>
        <v>67.466666666666669</v>
      </c>
      <c r="H146" s="6">
        <f t="shared" si="26"/>
        <v>67</v>
      </c>
      <c r="I146" s="9">
        <f t="shared" si="27"/>
        <v>0.46666666666666856</v>
      </c>
      <c r="J146" s="6">
        <f>COUNTIFS($A$2:$A$169,A146,$I$2:$I$169,"&gt;"&amp;I146)+COUNTIFS($A$2:A146,A146,$I$2:I146,I146)</f>
        <v>32</v>
      </c>
      <c r="K146" s="6">
        <f t="shared" si="28"/>
        <v>32</v>
      </c>
      <c r="L146" s="6">
        <f t="shared" si="29"/>
        <v>68</v>
      </c>
      <c r="M146" s="6">
        <f>ROUNDUP(L146/Controls!$B$8,0)</f>
        <v>2</v>
      </c>
    </row>
    <row r="147" spans="1:13" x14ac:dyDescent="0.2">
      <c r="A147" t="s">
        <v>30</v>
      </c>
      <c r="B147" t="s">
        <v>204</v>
      </c>
      <c r="C147" t="s">
        <v>53</v>
      </c>
      <c r="D147" s="17">
        <v>1</v>
      </c>
      <c r="E147" s="6">
        <f>INDEX(Country_Zones!$I$2:$I$12,MATCH(A147,Country_Zones!$A$2:$A$12,0))</f>
        <v>2024</v>
      </c>
      <c r="F147" s="17">
        <f t="shared" si="24"/>
        <v>45</v>
      </c>
      <c r="G147" s="17">
        <f t="shared" si="25"/>
        <v>44.977777777777781</v>
      </c>
      <c r="H147" s="6">
        <f t="shared" si="26"/>
        <v>44</v>
      </c>
      <c r="I147" s="9">
        <f t="shared" si="27"/>
        <v>0.97777777777778141</v>
      </c>
      <c r="J147" s="6">
        <f>COUNTIFS($A$2:$A$169,A147,$I$2:$I$169,"&gt;"&amp;I147)+COUNTIFS($A$2:A147,A147,$I$2:I147,I147)</f>
        <v>13</v>
      </c>
      <c r="K147" s="6">
        <f t="shared" si="28"/>
        <v>32</v>
      </c>
      <c r="L147" s="6">
        <f t="shared" si="29"/>
        <v>45</v>
      </c>
      <c r="M147" s="6">
        <f>ROUNDUP(L147/Controls!$B$8,0)</f>
        <v>1</v>
      </c>
    </row>
    <row r="148" spans="1:13" x14ac:dyDescent="0.2">
      <c r="A148" t="s">
        <v>30</v>
      </c>
      <c r="B148" t="s">
        <v>205</v>
      </c>
      <c r="C148" t="s">
        <v>53</v>
      </c>
      <c r="D148" s="17">
        <v>1</v>
      </c>
      <c r="E148" s="6">
        <f>INDEX(Country_Zones!$I$2:$I$12,MATCH(A148,Country_Zones!$A$2:$A$12,0))</f>
        <v>2024</v>
      </c>
      <c r="F148" s="17">
        <f t="shared" si="24"/>
        <v>45</v>
      </c>
      <c r="G148" s="17">
        <f t="shared" si="25"/>
        <v>44.977777777777781</v>
      </c>
      <c r="H148" s="6">
        <f t="shared" si="26"/>
        <v>44</v>
      </c>
      <c r="I148" s="9">
        <f t="shared" si="27"/>
        <v>0.97777777777778141</v>
      </c>
      <c r="J148" s="6">
        <f>COUNTIFS($A$2:$A$169,A148,$I$2:$I$169,"&gt;"&amp;I148)+COUNTIFS($A$2:A148,A148,$I$2:I148,I148)</f>
        <v>14</v>
      </c>
      <c r="K148" s="6">
        <f t="shared" si="28"/>
        <v>32</v>
      </c>
      <c r="L148" s="6">
        <f t="shared" si="29"/>
        <v>45</v>
      </c>
      <c r="M148" s="6">
        <f>ROUNDUP(L148/Controls!$B$8,0)</f>
        <v>1</v>
      </c>
    </row>
    <row r="149" spans="1:13" x14ac:dyDescent="0.2">
      <c r="A149" t="s">
        <v>30</v>
      </c>
      <c r="B149" t="s">
        <v>206</v>
      </c>
      <c r="C149" t="s">
        <v>56</v>
      </c>
      <c r="D149" s="17">
        <v>1.5</v>
      </c>
      <c r="E149" s="6">
        <f>INDEX(Country_Zones!$I$2:$I$12,MATCH(A149,Country_Zones!$A$2:$A$12,0))</f>
        <v>2024</v>
      </c>
      <c r="F149" s="17">
        <f t="shared" si="24"/>
        <v>45</v>
      </c>
      <c r="G149" s="17">
        <f t="shared" si="25"/>
        <v>67.466666666666669</v>
      </c>
      <c r="H149" s="6">
        <f t="shared" si="26"/>
        <v>67</v>
      </c>
      <c r="I149" s="9">
        <f t="shared" si="27"/>
        <v>0.46666666666666856</v>
      </c>
      <c r="J149" s="6">
        <f>COUNTIFS($A$2:$A$169,A149,$I$2:$I$169,"&gt;"&amp;I149)+COUNTIFS($A$2:A149,A149,$I$2:I149,I149)</f>
        <v>33</v>
      </c>
      <c r="K149" s="6">
        <f t="shared" si="28"/>
        <v>32</v>
      </c>
      <c r="L149" s="6">
        <f t="shared" si="29"/>
        <v>67</v>
      </c>
      <c r="M149" s="6">
        <f>ROUNDUP(L149/Controls!$B$8,0)</f>
        <v>2</v>
      </c>
    </row>
    <row r="150" spans="1:13" x14ac:dyDescent="0.2">
      <c r="A150" t="s">
        <v>30</v>
      </c>
      <c r="B150" t="s">
        <v>207</v>
      </c>
      <c r="C150" t="s">
        <v>53</v>
      </c>
      <c r="D150" s="17">
        <v>1</v>
      </c>
      <c r="E150" s="6">
        <f>INDEX(Country_Zones!$I$2:$I$12,MATCH(A150,Country_Zones!$A$2:$A$12,0))</f>
        <v>2024</v>
      </c>
      <c r="F150" s="17">
        <f t="shared" si="24"/>
        <v>45</v>
      </c>
      <c r="G150" s="17">
        <f t="shared" si="25"/>
        <v>44.977777777777781</v>
      </c>
      <c r="H150" s="6">
        <f t="shared" si="26"/>
        <v>44</v>
      </c>
      <c r="I150" s="9">
        <f t="shared" si="27"/>
        <v>0.97777777777778141</v>
      </c>
      <c r="J150" s="6">
        <f>COUNTIFS($A$2:$A$169,A150,$I$2:$I$169,"&gt;"&amp;I150)+COUNTIFS($A$2:A150,A150,$I$2:I150,I150)</f>
        <v>15</v>
      </c>
      <c r="K150" s="6">
        <f t="shared" si="28"/>
        <v>32</v>
      </c>
      <c r="L150" s="6">
        <f t="shared" si="29"/>
        <v>45</v>
      </c>
      <c r="M150" s="6">
        <f>ROUNDUP(L150/Controls!$B$8,0)</f>
        <v>1</v>
      </c>
    </row>
    <row r="151" spans="1:13" x14ac:dyDescent="0.2">
      <c r="A151" t="s">
        <v>30</v>
      </c>
      <c r="B151" t="s">
        <v>208</v>
      </c>
      <c r="C151" t="s">
        <v>56</v>
      </c>
      <c r="D151" s="17">
        <v>1.25</v>
      </c>
      <c r="E151" s="6">
        <f>INDEX(Country_Zones!$I$2:$I$12,MATCH(A151,Country_Zones!$A$2:$A$12,0))</f>
        <v>2024</v>
      </c>
      <c r="F151" s="17">
        <f t="shared" si="24"/>
        <v>45</v>
      </c>
      <c r="G151" s="17">
        <f t="shared" si="25"/>
        <v>56.222222222222221</v>
      </c>
      <c r="H151" s="6">
        <f t="shared" si="26"/>
        <v>56</v>
      </c>
      <c r="I151" s="9">
        <f t="shared" si="27"/>
        <v>0.22222222222222143</v>
      </c>
      <c r="J151" s="6">
        <f>COUNTIFS($A$2:$A$169,A151,$I$2:$I$169,"&gt;"&amp;I151)+COUNTIFS($A$2:A151,A151,$I$2:I151,I151)</f>
        <v>37</v>
      </c>
      <c r="K151" s="6">
        <f t="shared" si="28"/>
        <v>32</v>
      </c>
      <c r="L151" s="6">
        <f t="shared" si="29"/>
        <v>56</v>
      </c>
      <c r="M151" s="6">
        <f>ROUNDUP(L151/Controls!$B$8,0)</f>
        <v>2</v>
      </c>
    </row>
    <row r="152" spans="1:13" x14ac:dyDescent="0.2">
      <c r="A152" t="s">
        <v>30</v>
      </c>
      <c r="B152" t="s">
        <v>209</v>
      </c>
      <c r="C152" t="s">
        <v>66</v>
      </c>
      <c r="D152" s="17">
        <v>2</v>
      </c>
      <c r="E152" s="6">
        <f>INDEX(Country_Zones!$I$2:$I$12,MATCH(A152,Country_Zones!$A$2:$A$12,0))</f>
        <v>2024</v>
      </c>
      <c r="F152" s="17">
        <f t="shared" si="24"/>
        <v>45</v>
      </c>
      <c r="G152" s="17">
        <f t="shared" si="25"/>
        <v>89.955555555555563</v>
      </c>
      <c r="H152" s="6">
        <f t="shared" si="26"/>
        <v>89</v>
      </c>
      <c r="I152" s="9">
        <f t="shared" si="27"/>
        <v>0.95555555555556282</v>
      </c>
      <c r="J152" s="6">
        <f>COUNTIFS($A$2:$A$169,A152,$I$2:$I$169,"&gt;"&amp;I152)+COUNTIFS($A$2:A152,A152,$I$2:I152,I152)</f>
        <v>29</v>
      </c>
      <c r="K152" s="6">
        <f t="shared" si="28"/>
        <v>32</v>
      </c>
      <c r="L152" s="6">
        <f t="shared" si="29"/>
        <v>90</v>
      </c>
      <c r="M152" s="6">
        <f>ROUNDUP(L152/Controls!$B$8,0)</f>
        <v>2</v>
      </c>
    </row>
    <row r="153" spans="1:13" x14ac:dyDescent="0.2">
      <c r="A153" t="s">
        <v>30</v>
      </c>
      <c r="B153" t="s">
        <v>210</v>
      </c>
      <c r="C153" t="s">
        <v>56</v>
      </c>
      <c r="D153" s="17">
        <v>1.5</v>
      </c>
      <c r="E153" s="6">
        <f>INDEX(Country_Zones!$I$2:$I$12,MATCH(A153,Country_Zones!$A$2:$A$12,0))</f>
        <v>2024</v>
      </c>
      <c r="F153" s="17">
        <f t="shared" si="24"/>
        <v>45</v>
      </c>
      <c r="G153" s="17">
        <f t="shared" si="25"/>
        <v>67.466666666666669</v>
      </c>
      <c r="H153" s="6">
        <f t="shared" si="26"/>
        <v>67</v>
      </c>
      <c r="I153" s="9">
        <f t="shared" si="27"/>
        <v>0.46666666666666856</v>
      </c>
      <c r="J153" s="6">
        <f>COUNTIFS($A$2:$A$169,A153,$I$2:$I$169,"&gt;"&amp;I153)+COUNTIFS($A$2:A153,A153,$I$2:I153,I153)</f>
        <v>34</v>
      </c>
      <c r="K153" s="6">
        <f t="shared" si="28"/>
        <v>32</v>
      </c>
      <c r="L153" s="6">
        <f t="shared" si="29"/>
        <v>67</v>
      </c>
      <c r="M153" s="6">
        <f>ROUNDUP(L153/Controls!$B$8,0)</f>
        <v>2</v>
      </c>
    </row>
    <row r="154" spans="1:13" x14ac:dyDescent="0.2">
      <c r="A154" t="s">
        <v>30</v>
      </c>
      <c r="B154" t="s">
        <v>211</v>
      </c>
      <c r="C154" t="s">
        <v>53</v>
      </c>
      <c r="D154" s="17">
        <v>1</v>
      </c>
      <c r="E154" s="6">
        <f>INDEX(Country_Zones!$I$2:$I$12,MATCH(A154,Country_Zones!$A$2:$A$12,0))</f>
        <v>2024</v>
      </c>
      <c r="F154" s="17">
        <f t="shared" si="24"/>
        <v>45</v>
      </c>
      <c r="G154" s="17">
        <f t="shared" si="25"/>
        <v>44.977777777777781</v>
      </c>
      <c r="H154" s="6">
        <f t="shared" si="26"/>
        <v>44</v>
      </c>
      <c r="I154" s="9">
        <f t="shared" si="27"/>
        <v>0.97777777777778141</v>
      </c>
      <c r="J154" s="6">
        <f>COUNTIFS($A$2:$A$169,A154,$I$2:$I$169,"&gt;"&amp;I154)+COUNTIFS($A$2:A154,A154,$I$2:I154,I154)</f>
        <v>16</v>
      </c>
      <c r="K154" s="6">
        <f t="shared" si="28"/>
        <v>32</v>
      </c>
      <c r="L154" s="6">
        <f t="shared" si="29"/>
        <v>45</v>
      </c>
      <c r="M154" s="6">
        <f>ROUNDUP(L154/Controls!$B$8,0)</f>
        <v>1</v>
      </c>
    </row>
    <row r="155" spans="1:13" x14ac:dyDescent="0.2">
      <c r="A155" t="s">
        <v>30</v>
      </c>
      <c r="B155" t="s">
        <v>212</v>
      </c>
      <c r="C155" t="s">
        <v>56</v>
      </c>
      <c r="D155" s="17">
        <v>1.25</v>
      </c>
      <c r="E155" s="6">
        <f>INDEX(Country_Zones!$I$2:$I$12,MATCH(A155,Country_Zones!$A$2:$A$12,0))</f>
        <v>2024</v>
      </c>
      <c r="F155" s="17">
        <f t="shared" si="24"/>
        <v>45</v>
      </c>
      <c r="G155" s="17">
        <f t="shared" si="25"/>
        <v>56.222222222222221</v>
      </c>
      <c r="H155" s="6">
        <f t="shared" si="26"/>
        <v>56</v>
      </c>
      <c r="I155" s="9">
        <f t="shared" si="27"/>
        <v>0.22222222222222143</v>
      </c>
      <c r="J155" s="6">
        <f>COUNTIFS($A$2:$A$169,A155,$I$2:$I$169,"&gt;"&amp;I155)+COUNTIFS($A$2:A155,A155,$I$2:I155,I155)</f>
        <v>38</v>
      </c>
      <c r="K155" s="6">
        <f t="shared" si="28"/>
        <v>32</v>
      </c>
      <c r="L155" s="6">
        <f t="shared" si="29"/>
        <v>56</v>
      </c>
      <c r="M155" s="6">
        <f>ROUNDUP(L155/Controls!$B$8,0)</f>
        <v>2</v>
      </c>
    </row>
    <row r="156" spans="1:13" x14ac:dyDescent="0.2">
      <c r="A156" t="s">
        <v>30</v>
      </c>
      <c r="B156" t="s">
        <v>213</v>
      </c>
      <c r="C156" t="s">
        <v>53</v>
      </c>
      <c r="D156" s="17">
        <v>1</v>
      </c>
      <c r="E156" s="6">
        <f>INDEX(Country_Zones!$I$2:$I$12,MATCH(A156,Country_Zones!$A$2:$A$12,0))</f>
        <v>2024</v>
      </c>
      <c r="F156" s="17">
        <f t="shared" si="24"/>
        <v>45</v>
      </c>
      <c r="G156" s="17">
        <f t="shared" si="25"/>
        <v>44.977777777777781</v>
      </c>
      <c r="H156" s="6">
        <f t="shared" si="26"/>
        <v>44</v>
      </c>
      <c r="I156" s="9">
        <f t="shared" si="27"/>
        <v>0.97777777777778141</v>
      </c>
      <c r="J156" s="6">
        <f>COUNTIFS($A$2:$A$169,A156,$I$2:$I$169,"&gt;"&amp;I156)+COUNTIFS($A$2:A156,A156,$I$2:I156,I156)</f>
        <v>17</v>
      </c>
      <c r="K156" s="6">
        <f t="shared" si="28"/>
        <v>32</v>
      </c>
      <c r="L156" s="6">
        <f t="shared" si="29"/>
        <v>45</v>
      </c>
      <c r="M156" s="6">
        <f>ROUNDUP(L156/Controls!$B$8,0)</f>
        <v>1</v>
      </c>
    </row>
    <row r="157" spans="1:13" x14ac:dyDescent="0.2">
      <c r="A157" t="s">
        <v>30</v>
      </c>
      <c r="B157" t="s">
        <v>214</v>
      </c>
      <c r="C157" t="s">
        <v>53</v>
      </c>
      <c r="D157" s="17">
        <v>1</v>
      </c>
      <c r="E157" s="6">
        <f>INDEX(Country_Zones!$I$2:$I$12,MATCH(A157,Country_Zones!$A$2:$A$12,0))</f>
        <v>2024</v>
      </c>
      <c r="F157" s="17">
        <f t="shared" si="24"/>
        <v>45</v>
      </c>
      <c r="G157" s="17">
        <f t="shared" si="25"/>
        <v>44.977777777777781</v>
      </c>
      <c r="H157" s="6">
        <f t="shared" si="26"/>
        <v>44</v>
      </c>
      <c r="I157" s="9">
        <f t="shared" si="27"/>
        <v>0.97777777777778141</v>
      </c>
      <c r="J157" s="6">
        <f>COUNTIFS($A$2:$A$169,A157,$I$2:$I$169,"&gt;"&amp;I157)+COUNTIFS($A$2:A157,A157,$I$2:I157,I157)</f>
        <v>18</v>
      </c>
      <c r="K157" s="6">
        <f t="shared" si="28"/>
        <v>32</v>
      </c>
      <c r="L157" s="6">
        <f t="shared" si="29"/>
        <v>45</v>
      </c>
      <c r="M157" s="6">
        <f>ROUNDUP(L157/Controls!$B$8,0)</f>
        <v>1</v>
      </c>
    </row>
    <row r="158" spans="1:13" x14ac:dyDescent="0.2">
      <c r="A158" t="s">
        <v>30</v>
      </c>
      <c r="B158" t="s">
        <v>215</v>
      </c>
      <c r="C158" t="s">
        <v>53</v>
      </c>
      <c r="D158" s="17">
        <v>1</v>
      </c>
      <c r="E158" s="6">
        <f>INDEX(Country_Zones!$I$2:$I$12,MATCH(A158,Country_Zones!$A$2:$A$12,0))</f>
        <v>2024</v>
      </c>
      <c r="F158" s="17">
        <f t="shared" si="24"/>
        <v>45</v>
      </c>
      <c r="G158" s="17">
        <f t="shared" si="25"/>
        <v>44.977777777777781</v>
      </c>
      <c r="H158" s="6">
        <f t="shared" si="26"/>
        <v>44</v>
      </c>
      <c r="I158" s="9">
        <f t="shared" si="27"/>
        <v>0.97777777777778141</v>
      </c>
      <c r="J158" s="6">
        <f>COUNTIFS($A$2:$A$169,A158,$I$2:$I$169,"&gt;"&amp;I158)+COUNTIFS($A$2:A158,A158,$I$2:I158,I158)</f>
        <v>19</v>
      </c>
      <c r="K158" s="6">
        <f t="shared" si="28"/>
        <v>32</v>
      </c>
      <c r="L158" s="6">
        <f t="shared" si="29"/>
        <v>45</v>
      </c>
      <c r="M158" s="6">
        <f>ROUNDUP(L158/Controls!$B$8,0)</f>
        <v>1</v>
      </c>
    </row>
    <row r="159" spans="1:13" x14ac:dyDescent="0.2">
      <c r="A159" t="s">
        <v>30</v>
      </c>
      <c r="B159" t="s">
        <v>216</v>
      </c>
      <c r="C159" t="s">
        <v>53</v>
      </c>
      <c r="D159" s="17">
        <v>1</v>
      </c>
      <c r="E159" s="6">
        <f>INDEX(Country_Zones!$I$2:$I$12,MATCH(A159,Country_Zones!$A$2:$A$12,0))</f>
        <v>2024</v>
      </c>
      <c r="F159" s="17">
        <f t="shared" si="24"/>
        <v>45</v>
      </c>
      <c r="G159" s="17">
        <f t="shared" si="25"/>
        <v>44.977777777777781</v>
      </c>
      <c r="H159" s="6">
        <f t="shared" si="26"/>
        <v>44</v>
      </c>
      <c r="I159" s="9">
        <f t="shared" si="27"/>
        <v>0.97777777777778141</v>
      </c>
      <c r="J159" s="6">
        <f>COUNTIFS($A$2:$A$169,A159,$I$2:$I$169,"&gt;"&amp;I159)+COUNTIFS($A$2:A159,A159,$I$2:I159,I159)</f>
        <v>20</v>
      </c>
      <c r="K159" s="6">
        <f t="shared" si="28"/>
        <v>32</v>
      </c>
      <c r="L159" s="6">
        <f t="shared" si="29"/>
        <v>45</v>
      </c>
      <c r="M159" s="6">
        <f>ROUNDUP(L159/Controls!$B$8,0)</f>
        <v>1</v>
      </c>
    </row>
    <row r="160" spans="1:13" x14ac:dyDescent="0.2">
      <c r="A160" t="s">
        <v>30</v>
      </c>
      <c r="B160" t="s">
        <v>217</v>
      </c>
      <c r="C160" t="s">
        <v>53</v>
      </c>
      <c r="D160" s="17">
        <v>1</v>
      </c>
      <c r="E160" s="6">
        <f>INDEX(Country_Zones!$I$2:$I$12,MATCH(A160,Country_Zones!$A$2:$A$12,0))</f>
        <v>2024</v>
      </c>
      <c r="F160" s="17">
        <f t="shared" si="24"/>
        <v>45</v>
      </c>
      <c r="G160" s="17">
        <f t="shared" si="25"/>
        <v>44.977777777777781</v>
      </c>
      <c r="H160" s="6">
        <f t="shared" si="26"/>
        <v>44</v>
      </c>
      <c r="I160" s="9">
        <f t="shared" si="27"/>
        <v>0.97777777777778141</v>
      </c>
      <c r="J160" s="6">
        <f>COUNTIFS($A$2:$A$169,A160,$I$2:$I$169,"&gt;"&amp;I160)+COUNTIFS($A$2:A160,A160,$I$2:I160,I160)</f>
        <v>21</v>
      </c>
      <c r="K160" s="6">
        <f t="shared" si="28"/>
        <v>32</v>
      </c>
      <c r="L160" s="6">
        <f t="shared" si="29"/>
        <v>45</v>
      </c>
      <c r="M160" s="6">
        <f>ROUNDUP(L160/Controls!$B$8,0)</f>
        <v>1</v>
      </c>
    </row>
    <row r="161" spans="1:13" x14ac:dyDescent="0.2">
      <c r="A161" t="s">
        <v>30</v>
      </c>
      <c r="B161" t="s">
        <v>218</v>
      </c>
      <c r="C161" t="s">
        <v>56</v>
      </c>
      <c r="D161" s="17">
        <v>1.25</v>
      </c>
      <c r="E161" s="6">
        <f>INDEX(Country_Zones!$I$2:$I$12,MATCH(A161,Country_Zones!$A$2:$A$12,0))</f>
        <v>2024</v>
      </c>
      <c r="F161" s="17">
        <f t="shared" si="24"/>
        <v>45</v>
      </c>
      <c r="G161" s="17">
        <f t="shared" si="25"/>
        <v>56.222222222222221</v>
      </c>
      <c r="H161" s="6">
        <f t="shared" si="26"/>
        <v>56</v>
      </c>
      <c r="I161" s="9">
        <f t="shared" si="27"/>
        <v>0.22222222222222143</v>
      </c>
      <c r="J161" s="6">
        <f>COUNTIFS($A$2:$A$169,A161,$I$2:$I$169,"&gt;"&amp;I161)+COUNTIFS($A$2:A161,A161,$I$2:I161,I161)</f>
        <v>39</v>
      </c>
      <c r="K161" s="6">
        <f t="shared" si="28"/>
        <v>32</v>
      </c>
      <c r="L161" s="6">
        <f t="shared" si="29"/>
        <v>56</v>
      </c>
      <c r="M161" s="6">
        <f>ROUNDUP(L161/Controls!$B$8,0)</f>
        <v>2</v>
      </c>
    </row>
    <row r="162" spans="1:13" x14ac:dyDescent="0.2">
      <c r="A162" t="s">
        <v>30</v>
      </c>
      <c r="B162" t="s">
        <v>219</v>
      </c>
      <c r="C162" t="s">
        <v>53</v>
      </c>
      <c r="D162" s="17">
        <v>1</v>
      </c>
      <c r="E162" s="6">
        <f>INDEX(Country_Zones!$I$2:$I$12,MATCH(A162,Country_Zones!$A$2:$A$12,0))</f>
        <v>2024</v>
      </c>
      <c r="F162" s="17">
        <f t="shared" ref="F162:F169" si="30">SUMIF($A$2:$A$169,A162,$D$2:$D$169)</f>
        <v>45</v>
      </c>
      <c r="G162" s="17">
        <f t="shared" ref="G162:G193" si="31">E162*(D162/F162)</f>
        <v>44.977777777777781</v>
      </c>
      <c r="H162" s="6">
        <f t="shared" ref="H162:H193" si="32">INT(G162)</f>
        <v>44</v>
      </c>
      <c r="I162" s="9">
        <f t="shared" ref="I162:I193" si="33">G162-H162</f>
        <v>0.97777777777778141</v>
      </c>
      <c r="J162" s="6">
        <f>COUNTIFS($A$2:$A$169,A162,$I$2:$I$169,"&gt;"&amp;I162)+COUNTIFS($A$2:A162,A162,$I$2:I162,I162)</f>
        <v>22</v>
      </c>
      <c r="K162" s="6">
        <f t="shared" ref="K162:K169" si="34">E162-SUMIF($A$2:$A$169,A162,$H$2:$H$169)</f>
        <v>32</v>
      </c>
      <c r="L162" s="6">
        <f t="shared" ref="L162:L193" si="35">H162+IF(J162&lt;=K162,1,0)</f>
        <v>45</v>
      </c>
      <c r="M162" s="6">
        <f>ROUNDUP(L162/Controls!$B$8,0)</f>
        <v>1</v>
      </c>
    </row>
    <row r="163" spans="1:13" x14ac:dyDescent="0.2">
      <c r="A163" t="s">
        <v>30</v>
      </c>
      <c r="B163" t="s">
        <v>220</v>
      </c>
      <c r="C163" t="s">
        <v>56</v>
      </c>
      <c r="D163" s="17">
        <v>1.25</v>
      </c>
      <c r="E163" s="6">
        <f>INDEX(Country_Zones!$I$2:$I$12,MATCH(A163,Country_Zones!$A$2:$A$12,0))</f>
        <v>2024</v>
      </c>
      <c r="F163" s="17">
        <f t="shared" si="30"/>
        <v>45</v>
      </c>
      <c r="G163" s="17">
        <f t="shared" si="31"/>
        <v>56.222222222222221</v>
      </c>
      <c r="H163" s="6">
        <f t="shared" si="32"/>
        <v>56</v>
      </c>
      <c r="I163" s="9">
        <f t="shared" si="33"/>
        <v>0.22222222222222143</v>
      </c>
      <c r="J163" s="6">
        <f>COUNTIFS($A$2:$A$169,A163,$I$2:$I$169,"&gt;"&amp;I163)+COUNTIFS($A$2:A163,A163,$I$2:I163,I163)</f>
        <v>40</v>
      </c>
      <c r="K163" s="6">
        <f t="shared" si="34"/>
        <v>32</v>
      </c>
      <c r="L163" s="6">
        <f t="shared" si="35"/>
        <v>56</v>
      </c>
      <c r="M163" s="6">
        <f>ROUNDUP(L163/Controls!$B$8,0)</f>
        <v>2</v>
      </c>
    </row>
    <row r="164" spans="1:13" x14ac:dyDescent="0.2">
      <c r="A164" t="s">
        <v>30</v>
      </c>
      <c r="B164" t="s">
        <v>221</v>
      </c>
      <c r="C164" t="s">
        <v>53</v>
      </c>
      <c r="D164" s="17">
        <v>1</v>
      </c>
      <c r="E164" s="6">
        <f>INDEX(Country_Zones!$I$2:$I$12,MATCH(A164,Country_Zones!$A$2:$A$12,0))</f>
        <v>2024</v>
      </c>
      <c r="F164" s="17">
        <f t="shared" si="30"/>
        <v>45</v>
      </c>
      <c r="G164" s="17">
        <f t="shared" si="31"/>
        <v>44.977777777777781</v>
      </c>
      <c r="H164" s="6">
        <f t="shared" si="32"/>
        <v>44</v>
      </c>
      <c r="I164" s="9">
        <f t="shared" si="33"/>
        <v>0.97777777777778141</v>
      </c>
      <c r="J164" s="6">
        <f>COUNTIFS($A$2:$A$169,A164,$I$2:$I$169,"&gt;"&amp;I164)+COUNTIFS($A$2:A164,A164,$I$2:I164,I164)</f>
        <v>23</v>
      </c>
      <c r="K164" s="6">
        <f t="shared" si="34"/>
        <v>32</v>
      </c>
      <c r="L164" s="6">
        <f t="shared" si="35"/>
        <v>45</v>
      </c>
      <c r="M164" s="6">
        <f>ROUNDUP(L164/Controls!$B$8,0)</f>
        <v>1</v>
      </c>
    </row>
    <row r="165" spans="1:13" x14ac:dyDescent="0.2">
      <c r="A165" t="s">
        <v>30</v>
      </c>
      <c r="B165" t="s">
        <v>222</v>
      </c>
      <c r="C165" t="s">
        <v>53</v>
      </c>
      <c r="D165" s="17">
        <v>1</v>
      </c>
      <c r="E165" s="6">
        <f>INDEX(Country_Zones!$I$2:$I$12,MATCH(A165,Country_Zones!$A$2:$A$12,0))</f>
        <v>2024</v>
      </c>
      <c r="F165" s="17">
        <f t="shared" si="30"/>
        <v>45</v>
      </c>
      <c r="G165" s="17">
        <f t="shared" si="31"/>
        <v>44.977777777777781</v>
      </c>
      <c r="H165" s="6">
        <f t="shared" si="32"/>
        <v>44</v>
      </c>
      <c r="I165" s="9">
        <f t="shared" si="33"/>
        <v>0.97777777777778141</v>
      </c>
      <c r="J165" s="6">
        <f>COUNTIFS($A$2:$A$169,A165,$I$2:$I$169,"&gt;"&amp;I165)+COUNTIFS($A$2:A165,A165,$I$2:I165,I165)</f>
        <v>24</v>
      </c>
      <c r="K165" s="6">
        <f t="shared" si="34"/>
        <v>32</v>
      </c>
      <c r="L165" s="6">
        <f t="shared" si="35"/>
        <v>45</v>
      </c>
      <c r="M165" s="6">
        <f>ROUNDUP(L165/Controls!$B$8,0)</f>
        <v>1</v>
      </c>
    </row>
    <row r="166" spans="1:13" x14ac:dyDescent="0.2">
      <c r="A166" t="s">
        <v>30</v>
      </c>
      <c r="B166" t="s">
        <v>223</v>
      </c>
      <c r="C166" t="s">
        <v>53</v>
      </c>
      <c r="D166" s="17">
        <v>1</v>
      </c>
      <c r="E166" s="6">
        <f>INDEX(Country_Zones!$I$2:$I$12,MATCH(A166,Country_Zones!$A$2:$A$12,0))</f>
        <v>2024</v>
      </c>
      <c r="F166" s="17">
        <f t="shared" si="30"/>
        <v>45</v>
      </c>
      <c r="G166" s="17">
        <f t="shared" si="31"/>
        <v>44.977777777777781</v>
      </c>
      <c r="H166" s="6">
        <f t="shared" si="32"/>
        <v>44</v>
      </c>
      <c r="I166" s="9">
        <f t="shared" si="33"/>
        <v>0.97777777777778141</v>
      </c>
      <c r="J166" s="6">
        <f>COUNTIFS($A$2:$A$169,A166,$I$2:$I$169,"&gt;"&amp;I166)+COUNTIFS($A$2:A166,A166,$I$2:I166,I166)</f>
        <v>25</v>
      </c>
      <c r="K166" s="6">
        <f t="shared" si="34"/>
        <v>32</v>
      </c>
      <c r="L166" s="6">
        <f t="shared" si="35"/>
        <v>45</v>
      </c>
      <c r="M166" s="6">
        <f>ROUNDUP(L166/Controls!$B$8,0)</f>
        <v>1</v>
      </c>
    </row>
    <row r="167" spans="1:13" x14ac:dyDescent="0.2">
      <c r="A167" t="s">
        <v>30</v>
      </c>
      <c r="B167" t="s">
        <v>224</v>
      </c>
      <c r="C167" t="s">
        <v>53</v>
      </c>
      <c r="D167" s="17">
        <v>1</v>
      </c>
      <c r="E167" s="6">
        <f>INDEX(Country_Zones!$I$2:$I$12,MATCH(A167,Country_Zones!$A$2:$A$12,0))</f>
        <v>2024</v>
      </c>
      <c r="F167" s="17">
        <f t="shared" si="30"/>
        <v>45</v>
      </c>
      <c r="G167" s="17">
        <f t="shared" si="31"/>
        <v>44.977777777777781</v>
      </c>
      <c r="H167" s="6">
        <f t="shared" si="32"/>
        <v>44</v>
      </c>
      <c r="I167" s="9">
        <f t="shared" si="33"/>
        <v>0.97777777777778141</v>
      </c>
      <c r="J167" s="6">
        <f>COUNTIFS($A$2:$A$169,A167,$I$2:$I$169,"&gt;"&amp;I167)+COUNTIFS($A$2:A167,A167,$I$2:I167,I167)</f>
        <v>26</v>
      </c>
      <c r="K167" s="6">
        <f t="shared" si="34"/>
        <v>32</v>
      </c>
      <c r="L167" s="6">
        <f t="shared" si="35"/>
        <v>45</v>
      </c>
      <c r="M167" s="6">
        <f>ROUNDUP(L167/Controls!$B$8,0)</f>
        <v>1</v>
      </c>
    </row>
    <row r="168" spans="1:13" x14ac:dyDescent="0.2">
      <c r="A168" t="s">
        <v>30</v>
      </c>
      <c r="B168" t="s">
        <v>225</v>
      </c>
      <c r="C168" t="s">
        <v>53</v>
      </c>
      <c r="D168" s="17">
        <v>1</v>
      </c>
      <c r="E168" s="6">
        <f>INDEX(Country_Zones!$I$2:$I$12,MATCH(A168,Country_Zones!$A$2:$A$12,0))</f>
        <v>2024</v>
      </c>
      <c r="F168" s="17">
        <f t="shared" si="30"/>
        <v>45</v>
      </c>
      <c r="G168" s="17">
        <f t="shared" si="31"/>
        <v>44.977777777777781</v>
      </c>
      <c r="H168" s="6">
        <f t="shared" si="32"/>
        <v>44</v>
      </c>
      <c r="I168" s="9">
        <f t="shared" si="33"/>
        <v>0.97777777777778141</v>
      </c>
      <c r="J168" s="6">
        <f>COUNTIFS($A$2:$A$169,A168,$I$2:$I$169,"&gt;"&amp;I168)+COUNTIFS($A$2:A168,A168,$I$2:I168,I168)</f>
        <v>27</v>
      </c>
      <c r="K168" s="6">
        <f t="shared" si="34"/>
        <v>32</v>
      </c>
      <c r="L168" s="6">
        <f t="shared" si="35"/>
        <v>45</v>
      </c>
      <c r="M168" s="6">
        <f>ROUNDUP(L168/Controls!$B$8,0)</f>
        <v>1</v>
      </c>
    </row>
    <row r="169" spans="1:13" x14ac:dyDescent="0.2">
      <c r="A169" t="s">
        <v>30</v>
      </c>
      <c r="B169" t="s">
        <v>226</v>
      </c>
      <c r="C169" t="s">
        <v>53</v>
      </c>
      <c r="D169" s="17">
        <v>1</v>
      </c>
      <c r="E169" s="6">
        <f>INDEX(Country_Zones!$I$2:$I$12,MATCH(A169,Country_Zones!$A$2:$A$12,0))</f>
        <v>2024</v>
      </c>
      <c r="F169" s="17">
        <f t="shared" si="30"/>
        <v>45</v>
      </c>
      <c r="G169" s="17">
        <f t="shared" si="31"/>
        <v>44.977777777777781</v>
      </c>
      <c r="H169" s="6">
        <f t="shared" si="32"/>
        <v>44</v>
      </c>
      <c r="I169" s="9">
        <f t="shared" si="33"/>
        <v>0.97777777777778141</v>
      </c>
      <c r="J169" s="6">
        <f>COUNTIFS($A$2:$A$169,A169,$I$2:$I$169,"&gt;"&amp;I169)+COUNTIFS($A$2:A169,A169,$I$2:I169,I169)</f>
        <v>28</v>
      </c>
      <c r="K169" s="6">
        <f t="shared" si="34"/>
        <v>32</v>
      </c>
      <c r="L169" s="6">
        <f t="shared" si="35"/>
        <v>45</v>
      </c>
      <c r="M169" s="6">
        <f>ROUNDUP(L169/Controls!$B$8,0)</f>
        <v>1</v>
      </c>
    </row>
    <row r="170" spans="1:13" x14ac:dyDescent="0.2">
      <c r="A170" s="12" t="s">
        <v>43</v>
      </c>
      <c r="B170" s="12"/>
      <c r="C170" s="12"/>
      <c r="D170" s="18">
        <f>SUM(D2:D169)</f>
        <v>205.25</v>
      </c>
      <c r="E170" s="13"/>
      <c r="F170" s="18"/>
      <c r="G170" s="18">
        <f>SUM(G2:G169)</f>
        <v>8500.0000000000055</v>
      </c>
      <c r="H170" s="13">
        <f>SUM(H2:H169)</f>
        <v>8405</v>
      </c>
      <c r="I170" s="16"/>
      <c r="J170" s="13"/>
      <c r="K170" s="13"/>
      <c r="L170" s="13">
        <f>SUM(L2:L169)</f>
        <v>8500</v>
      </c>
      <c r="M170" s="13">
        <f>SUM(M2:M169)</f>
        <v>232</v>
      </c>
    </row>
  </sheetData>
  <autoFilter ref="A1:M1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4"/>
  <sheetViews>
    <sheetView workbookViewId="0">
      <pane ySplit="1" topLeftCell="A340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0" customWidth="1"/>
    <col min="4" max="4" width="28" customWidth="1"/>
    <col min="5" max="6" width="12" customWidth="1"/>
  </cols>
  <sheetData>
    <row r="1" spans="1:6" x14ac:dyDescent="0.2">
      <c r="A1" s="3" t="s">
        <v>227</v>
      </c>
      <c r="B1" s="3" t="s">
        <v>228</v>
      </c>
      <c r="C1" s="3" t="s">
        <v>20</v>
      </c>
      <c r="D1" s="3" t="s">
        <v>44</v>
      </c>
      <c r="E1" s="3" t="s">
        <v>229</v>
      </c>
      <c r="F1" s="3" t="s">
        <v>230</v>
      </c>
    </row>
    <row r="2" spans="1:6" x14ac:dyDescent="0.2">
      <c r="A2" t="s">
        <v>231</v>
      </c>
      <c r="B2" t="s">
        <v>232</v>
      </c>
      <c r="C2" t="s">
        <v>38</v>
      </c>
      <c r="D2" t="s">
        <v>65</v>
      </c>
      <c r="E2">
        <v>1</v>
      </c>
      <c r="F2">
        <v>50</v>
      </c>
    </row>
    <row r="3" spans="1:6" x14ac:dyDescent="0.2">
      <c r="A3" t="s">
        <v>233</v>
      </c>
      <c r="B3" t="s">
        <v>232</v>
      </c>
      <c r="C3" t="s">
        <v>38</v>
      </c>
      <c r="D3" t="s">
        <v>65</v>
      </c>
      <c r="E3">
        <v>2</v>
      </c>
      <c r="F3">
        <v>24</v>
      </c>
    </row>
    <row r="4" spans="1:6" x14ac:dyDescent="0.2">
      <c r="A4" t="s">
        <v>234</v>
      </c>
      <c r="B4" t="s">
        <v>232</v>
      </c>
      <c r="C4" t="s">
        <v>38</v>
      </c>
      <c r="D4" t="s">
        <v>55</v>
      </c>
      <c r="E4">
        <v>1</v>
      </c>
      <c r="F4">
        <v>50</v>
      </c>
    </row>
    <row r="5" spans="1:6" x14ac:dyDescent="0.2">
      <c r="A5" t="s">
        <v>235</v>
      </c>
      <c r="B5" t="s">
        <v>232</v>
      </c>
      <c r="C5" t="s">
        <v>38</v>
      </c>
      <c r="D5" t="s">
        <v>55</v>
      </c>
      <c r="E5">
        <v>2</v>
      </c>
      <c r="F5">
        <v>5</v>
      </c>
    </row>
    <row r="6" spans="1:6" x14ac:dyDescent="0.2">
      <c r="A6" t="s">
        <v>236</v>
      </c>
      <c r="B6" t="s">
        <v>232</v>
      </c>
      <c r="C6" t="s">
        <v>38</v>
      </c>
      <c r="D6" t="s">
        <v>58</v>
      </c>
      <c r="E6">
        <v>1</v>
      </c>
      <c r="F6">
        <v>50</v>
      </c>
    </row>
    <row r="7" spans="1:6" x14ac:dyDescent="0.2">
      <c r="A7" t="s">
        <v>237</v>
      </c>
      <c r="B7" t="s">
        <v>232</v>
      </c>
      <c r="C7" t="s">
        <v>38</v>
      </c>
      <c r="D7" t="s">
        <v>58</v>
      </c>
      <c r="E7">
        <v>2</v>
      </c>
      <c r="F7">
        <v>5</v>
      </c>
    </row>
    <row r="8" spans="1:6" x14ac:dyDescent="0.2">
      <c r="A8" t="s">
        <v>238</v>
      </c>
      <c r="B8" t="s">
        <v>232</v>
      </c>
      <c r="C8" t="s">
        <v>38</v>
      </c>
      <c r="D8" t="s">
        <v>62</v>
      </c>
      <c r="E8">
        <v>1</v>
      </c>
      <c r="F8">
        <v>50</v>
      </c>
    </row>
    <row r="9" spans="1:6" x14ac:dyDescent="0.2">
      <c r="A9" t="s">
        <v>239</v>
      </c>
      <c r="B9" t="s">
        <v>232</v>
      </c>
      <c r="C9" t="s">
        <v>38</v>
      </c>
      <c r="D9" t="s">
        <v>62</v>
      </c>
      <c r="E9">
        <v>2</v>
      </c>
      <c r="F9">
        <v>5</v>
      </c>
    </row>
    <row r="10" spans="1:6" x14ac:dyDescent="0.2">
      <c r="A10" t="s">
        <v>240</v>
      </c>
      <c r="B10" t="s">
        <v>232</v>
      </c>
      <c r="C10" t="s">
        <v>38</v>
      </c>
      <c r="D10" t="s">
        <v>63</v>
      </c>
      <c r="E10">
        <v>1</v>
      </c>
      <c r="F10">
        <v>50</v>
      </c>
    </row>
    <row r="11" spans="1:6" x14ac:dyDescent="0.2">
      <c r="A11" t="s">
        <v>241</v>
      </c>
      <c r="B11" t="s">
        <v>232</v>
      </c>
      <c r="C11" t="s">
        <v>38</v>
      </c>
      <c r="D11" t="s">
        <v>63</v>
      </c>
      <c r="E11">
        <v>2</v>
      </c>
      <c r="F11">
        <v>5</v>
      </c>
    </row>
    <row r="12" spans="1:6" x14ac:dyDescent="0.2">
      <c r="A12" t="s">
        <v>242</v>
      </c>
      <c r="B12" t="s">
        <v>232</v>
      </c>
      <c r="C12" t="s">
        <v>38</v>
      </c>
      <c r="D12" t="s">
        <v>52</v>
      </c>
      <c r="E12">
        <v>1</v>
      </c>
      <c r="F12">
        <v>37</v>
      </c>
    </row>
    <row r="13" spans="1:6" x14ac:dyDescent="0.2">
      <c r="A13" t="s">
        <v>243</v>
      </c>
      <c r="B13" t="s">
        <v>232</v>
      </c>
      <c r="C13" t="s">
        <v>38</v>
      </c>
      <c r="D13" t="s">
        <v>60</v>
      </c>
      <c r="E13">
        <v>1</v>
      </c>
      <c r="F13">
        <v>37</v>
      </c>
    </row>
    <row r="14" spans="1:6" x14ac:dyDescent="0.2">
      <c r="A14" t="s">
        <v>244</v>
      </c>
      <c r="B14" t="s">
        <v>232</v>
      </c>
      <c r="C14" t="s">
        <v>38</v>
      </c>
      <c r="D14" t="s">
        <v>64</v>
      </c>
      <c r="E14">
        <v>1</v>
      </c>
      <c r="F14">
        <v>37</v>
      </c>
    </row>
    <row r="15" spans="1:6" x14ac:dyDescent="0.2">
      <c r="A15" t="s">
        <v>245</v>
      </c>
      <c r="B15" t="s">
        <v>232</v>
      </c>
      <c r="C15" t="s">
        <v>40</v>
      </c>
      <c r="D15" t="s">
        <v>69</v>
      </c>
      <c r="E15">
        <v>1</v>
      </c>
      <c r="F15">
        <v>50</v>
      </c>
    </row>
    <row r="16" spans="1:6" x14ac:dyDescent="0.2">
      <c r="A16" t="s">
        <v>246</v>
      </c>
      <c r="B16" t="s">
        <v>232</v>
      </c>
      <c r="C16" t="s">
        <v>40</v>
      </c>
      <c r="D16" t="s">
        <v>69</v>
      </c>
      <c r="E16">
        <v>2</v>
      </c>
      <c r="F16">
        <v>21</v>
      </c>
    </row>
    <row r="17" spans="1:6" x14ac:dyDescent="0.2">
      <c r="A17" t="s">
        <v>247</v>
      </c>
      <c r="B17" t="s">
        <v>232</v>
      </c>
      <c r="C17" t="s">
        <v>40</v>
      </c>
      <c r="D17" t="s">
        <v>70</v>
      </c>
      <c r="E17">
        <v>1</v>
      </c>
      <c r="F17">
        <v>50</v>
      </c>
    </row>
    <row r="18" spans="1:6" x14ac:dyDescent="0.2">
      <c r="A18" t="s">
        <v>248</v>
      </c>
      <c r="B18" t="s">
        <v>232</v>
      </c>
      <c r="C18" t="s">
        <v>40</v>
      </c>
      <c r="D18" t="s">
        <v>70</v>
      </c>
      <c r="E18">
        <v>2</v>
      </c>
      <c r="F18">
        <v>4</v>
      </c>
    </row>
    <row r="19" spans="1:6" x14ac:dyDescent="0.2">
      <c r="A19" t="s">
        <v>249</v>
      </c>
      <c r="B19" t="s">
        <v>232</v>
      </c>
      <c r="C19" t="s">
        <v>40</v>
      </c>
      <c r="D19" t="s">
        <v>72</v>
      </c>
      <c r="E19">
        <v>1</v>
      </c>
      <c r="F19">
        <v>50</v>
      </c>
    </row>
    <row r="20" spans="1:6" x14ac:dyDescent="0.2">
      <c r="A20" t="s">
        <v>250</v>
      </c>
      <c r="B20" t="s">
        <v>232</v>
      </c>
      <c r="C20" t="s">
        <v>40</v>
      </c>
      <c r="D20" t="s">
        <v>72</v>
      </c>
      <c r="E20">
        <v>2</v>
      </c>
      <c r="F20">
        <v>4</v>
      </c>
    </row>
    <row r="21" spans="1:6" x14ac:dyDescent="0.2">
      <c r="A21" t="s">
        <v>251</v>
      </c>
      <c r="B21" t="s">
        <v>232</v>
      </c>
      <c r="C21" t="s">
        <v>40</v>
      </c>
      <c r="D21" t="s">
        <v>67</v>
      </c>
      <c r="E21">
        <v>1</v>
      </c>
      <c r="F21">
        <v>50</v>
      </c>
    </row>
    <row r="22" spans="1:6" x14ac:dyDescent="0.2">
      <c r="A22" t="s">
        <v>252</v>
      </c>
      <c r="B22" t="s">
        <v>232</v>
      </c>
      <c r="C22" t="s">
        <v>40</v>
      </c>
      <c r="D22" t="s">
        <v>67</v>
      </c>
      <c r="E22">
        <v>2</v>
      </c>
      <c r="F22">
        <v>3</v>
      </c>
    </row>
    <row r="23" spans="1:6" x14ac:dyDescent="0.2">
      <c r="A23" t="s">
        <v>253</v>
      </c>
      <c r="B23" t="s">
        <v>232</v>
      </c>
      <c r="C23" t="s">
        <v>40</v>
      </c>
      <c r="D23" t="s">
        <v>68</v>
      </c>
      <c r="E23">
        <v>1</v>
      </c>
      <c r="F23">
        <v>36</v>
      </c>
    </row>
    <row r="24" spans="1:6" x14ac:dyDescent="0.2">
      <c r="A24" t="s">
        <v>254</v>
      </c>
      <c r="B24" t="s">
        <v>232</v>
      </c>
      <c r="C24" t="s">
        <v>40</v>
      </c>
      <c r="D24" t="s">
        <v>71</v>
      </c>
      <c r="E24">
        <v>1</v>
      </c>
      <c r="F24">
        <v>36</v>
      </c>
    </row>
    <row r="25" spans="1:6" x14ac:dyDescent="0.2">
      <c r="A25" t="s">
        <v>255</v>
      </c>
      <c r="B25" t="s">
        <v>232</v>
      </c>
      <c r="C25" t="s">
        <v>39</v>
      </c>
      <c r="D25" t="s">
        <v>79</v>
      </c>
      <c r="E25">
        <v>1</v>
      </c>
      <c r="F25">
        <v>50</v>
      </c>
    </row>
    <row r="26" spans="1:6" x14ac:dyDescent="0.2">
      <c r="A26" t="s">
        <v>256</v>
      </c>
      <c r="B26" t="s">
        <v>232</v>
      </c>
      <c r="C26" t="s">
        <v>39</v>
      </c>
      <c r="D26" t="s">
        <v>79</v>
      </c>
      <c r="E26">
        <v>2</v>
      </c>
      <c r="F26">
        <v>24</v>
      </c>
    </row>
    <row r="27" spans="1:6" x14ac:dyDescent="0.2">
      <c r="A27" t="s">
        <v>257</v>
      </c>
      <c r="B27" t="s">
        <v>232</v>
      </c>
      <c r="C27" t="s">
        <v>39</v>
      </c>
      <c r="D27" t="s">
        <v>74</v>
      </c>
      <c r="E27">
        <v>1</v>
      </c>
      <c r="F27">
        <v>50</v>
      </c>
    </row>
    <row r="28" spans="1:6" x14ac:dyDescent="0.2">
      <c r="A28" t="s">
        <v>258</v>
      </c>
      <c r="B28" t="s">
        <v>232</v>
      </c>
      <c r="C28" t="s">
        <v>39</v>
      </c>
      <c r="D28" t="s">
        <v>74</v>
      </c>
      <c r="E28">
        <v>2</v>
      </c>
      <c r="F28">
        <v>6</v>
      </c>
    </row>
    <row r="29" spans="1:6" x14ac:dyDescent="0.2">
      <c r="A29" t="s">
        <v>259</v>
      </c>
      <c r="B29" t="s">
        <v>232</v>
      </c>
      <c r="C29" t="s">
        <v>39</v>
      </c>
      <c r="D29" t="s">
        <v>77</v>
      </c>
      <c r="E29">
        <v>1</v>
      </c>
      <c r="F29">
        <v>50</v>
      </c>
    </row>
    <row r="30" spans="1:6" x14ac:dyDescent="0.2">
      <c r="A30" t="s">
        <v>260</v>
      </c>
      <c r="B30" t="s">
        <v>232</v>
      </c>
      <c r="C30" t="s">
        <v>39</v>
      </c>
      <c r="D30" t="s">
        <v>77</v>
      </c>
      <c r="E30">
        <v>2</v>
      </c>
      <c r="F30">
        <v>6</v>
      </c>
    </row>
    <row r="31" spans="1:6" x14ac:dyDescent="0.2">
      <c r="A31" t="s">
        <v>261</v>
      </c>
      <c r="B31" t="s">
        <v>232</v>
      </c>
      <c r="C31" t="s">
        <v>39</v>
      </c>
      <c r="D31" t="s">
        <v>75</v>
      </c>
      <c r="E31">
        <v>1</v>
      </c>
      <c r="F31">
        <v>47</v>
      </c>
    </row>
    <row r="32" spans="1:6" x14ac:dyDescent="0.2">
      <c r="A32" t="s">
        <v>262</v>
      </c>
      <c r="B32" t="s">
        <v>232</v>
      </c>
      <c r="C32" t="s">
        <v>39</v>
      </c>
      <c r="D32" t="s">
        <v>76</v>
      </c>
      <c r="E32">
        <v>1</v>
      </c>
      <c r="F32">
        <v>47</v>
      </c>
    </row>
    <row r="33" spans="1:6" x14ac:dyDescent="0.2">
      <c r="A33" t="s">
        <v>263</v>
      </c>
      <c r="B33" t="s">
        <v>232</v>
      </c>
      <c r="C33" t="s">
        <v>39</v>
      </c>
      <c r="D33" t="s">
        <v>73</v>
      </c>
      <c r="E33">
        <v>1</v>
      </c>
      <c r="F33">
        <v>37</v>
      </c>
    </row>
    <row r="34" spans="1:6" x14ac:dyDescent="0.2">
      <c r="A34" t="s">
        <v>264</v>
      </c>
      <c r="B34" t="s">
        <v>232</v>
      </c>
      <c r="C34" t="s">
        <v>39</v>
      </c>
      <c r="D34" t="s">
        <v>78</v>
      </c>
      <c r="E34">
        <v>1</v>
      </c>
      <c r="F34">
        <v>37</v>
      </c>
    </row>
    <row r="35" spans="1:6" x14ac:dyDescent="0.2">
      <c r="A35" t="s">
        <v>265</v>
      </c>
      <c r="B35" t="s">
        <v>232</v>
      </c>
      <c r="C35" t="s">
        <v>41</v>
      </c>
      <c r="D35" t="s">
        <v>83</v>
      </c>
      <c r="E35">
        <v>1</v>
      </c>
      <c r="F35">
        <v>50</v>
      </c>
    </row>
    <row r="36" spans="1:6" x14ac:dyDescent="0.2">
      <c r="A36" t="s">
        <v>266</v>
      </c>
      <c r="B36" t="s">
        <v>232</v>
      </c>
      <c r="C36" t="s">
        <v>41</v>
      </c>
      <c r="D36" t="s">
        <v>83</v>
      </c>
      <c r="E36">
        <v>2</v>
      </c>
      <c r="F36">
        <v>15</v>
      </c>
    </row>
    <row r="37" spans="1:6" x14ac:dyDescent="0.2">
      <c r="A37" t="s">
        <v>267</v>
      </c>
      <c r="B37" t="s">
        <v>232</v>
      </c>
      <c r="C37" t="s">
        <v>41</v>
      </c>
      <c r="D37" t="s">
        <v>82</v>
      </c>
      <c r="E37">
        <v>1</v>
      </c>
      <c r="F37">
        <v>49</v>
      </c>
    </row>
    <row r="38" spans="1:6" x14ac:dyDescent="0.2">
      <c r="A38" t="s">
        <v>268</v>
      </c>
      <c r="B38" t="s">
        <v>232</v>
      </c>
      <c r="C38" t="s">
        <v>41</v>
      </c>
      <c r="D38" t="s">
        <v>81</v>
      </c>
      <c r="E38">
        <v>1</v>
      </c>
      <c r="F38">
        <v>48</v>
      </c>
    </row>
    <row r="39" spans="1:6" x14ac:dyDescent="0.2">
      <c r="A39" t="s">
        <v>269</v>
      </c>
      <c r="B39" t="s">
        <v>232</v>
      </c>
      <c r="C39" t="s">
        <v>41</v>
      </c>
      <c r="D39" t="s">
        <v>80</v>
      </c>
      <c r="E39">
        <v>1</v>
      </c>
      <c r="F39">
        <v>40</v>
      </c>
    </row>
    <row r="40" spans="1:6" x14ac:dyDescent="0.2">
      <c r="A40" t="s">
        <v>270</v>
      </c>
      <c r="B40" t="s">
        <v>232</v>
      </c>
      <c r="C40" t="s">
        <v>34</v>
      </c>
      <c r="D40" t="s">
        <v>103</v>
      </c>
      <c r="E40">
        <v>1</v>
      </c>
      <c r="F40">
        <v>50</v>
      </c>
    </row>
    <row r="41" spans="1:6" x14ac:dyDescent="0.2">
      <c r="A41" t="s">
        <v>271</v>
      </c>
      <c r="B41" t="s">
        <v>232</v>
      </c>
      <c r="C41" t="s">
        <v>34</v>
      </c>
      <c r="D41" t="s">
        <v>103</v>
      </c>
      <c r="E41">
        <v>2</v>
      </c>
      <c r="F41">
        <v>36</v>
      </c>
    </row>
    <row r="42" spans="1:6" x14ac:dyDescent="0.2">
      <c r="A42" t="s">
        <v>272</v>
      </c>
      <c r="B42" t="s">
        <v>232</v>
      </c>
      <c r="C42" t="s">
        <v>34</v>
      </c>
      <c r="D42" t="s">
        <v>97</v>
      </c>
      <c r="E42">
        <v>1</v>
      </c>
      <c r="F42">
        <v>50</v>
      </c>
    </row>
    <row r="43" spans="1:6" x14ac:dyDescent="0.2">
      <c r="A43" t="s">
        <v>273</v>
      </c>
      <c r="B43" t="s">
        <v>232</v>
      </c>
      <c r="C43" t="s">
        <v>34</v>
      </c>
      <c r="D43" t="s">
        <v>97</v>
      </c>
      <c r="E43">
        <v>2</v>
      </c>
      <c r="F43">
        <v>15</v>
      </c>
    </row>
    <row r="44" spans="1:6" x14ac:dyDescent="0.2">
      <c r="A44" t="s">
        <v>274</v>
      </c>
      <c r="B44" t="s">
        <v>232</v>
      </c>
      <c r="C44" t="s">
        <v>34</v>
      </c>
      <c r="D44" t="s">
        <v>102</v>
      </c>
      <c r="E44">
        <v>1</v>
      </c>
      <c r="F44">
        <v>50</v>
      </c>
    </row>
    <row r="45" spans="1:6" x14ac:dyDescent="0.2">
      <c r="A45" t="s">
        <v>275</v>
      </c>
      <c r="B45" t="s">
        <v>232</v>
      </c>
      <c r="C45" t="s">
        <v>34</v>
      </c>
      <c r="D45" t="s">
        <v>102</v>
      </c>
      <c r="E45">
        <v>2</v>
      </c>
      <c r="F45">
        <v>15</v>
      </c>
    </row>
    <row r="46" spans="1:6" x14ac:dyDescent="0.2">
      <c r="A46" t="s">
        <v>276</v>
      </c>
      <c r="B46" t="s">
        <v>232</v>
      </c>
      <c r="C46" t="s">
        <v>34</v>
      </c>
      <c r="D46" t="s">
        <v>109</v>
      </c>
      <c r="E46">
        <v>1</v>
      </c>
      <c r="F46">
        <v>50</v>
      </c>
    </row>
    <row r="47" spans="1:6" x14ac:dyDescent="0.2">
      <c r="A47" t="s">
        <v>277</v>
      </c>
      <c r="B47" t="s">
        <v>232</v>
      </c>
      <c r="C47" t="s">
        <v>34</v>
      </c>
      <c r="D47" t="s">
        <v>109</v>
      </c>
      <c r="E47">
        <v>2</v>
      </c>
      <c r="F47">
        <v>15</v>
      </c>
    </row>
    <row r="48" spans="1:6" x14ac:dyDescent="0.2">
      <c r="A48" t="s">
        <v>278</v>
      </c>
      <c r="B48" t="s">
        <v>232</v>
      </c>
      <c r="C48" t="s">
        <v>34</v>
      </c>
      <c r="D48" t="s">
        <v>88</v>
      </c>
      <c r="E48">
        <v>1</v>
      </c>
      <c r="F48">
        <v>50</v>
      </c>
    </row>
    <row r="49" spans="1:6" x14ac:dyDescent="0.2">
      <c r="A49" t="s">
        <v>279</v>
      </c>
      <c r="B49" t="s">
        <v>232</v>
      </c>
      <c r="C49" t="s">
        <v>34</v>
      </c>
      <c r="D49" t="s">
        <v>88</v>
      </c>
      <c r="E49">
        <v>2</v>
      </c>
      <c r="F49">
        <v>14</v>
      </c>
    </row>
    <row r="50" spans="1:6" x14ac:dyDescent="0.2">
      <c r="A50" t="s">
        <v>280</v>
      </c>
      <c r="B50" t="s">
        <v>232</v>
      </c>
      <c r="C50" t="s">
        <v>34</v>
      </c>
      <c r="D50" t="s">
        <v>95</v>
      </c>
      <c r="E50">
        <v>1</v>
      </c>
      <c r="F50">
        <v>50</v>
      </c>
    </row>
    <row r="51" spans="1:6" x14ac:dyDescent="0.2">
      <c r="A51" t="s">
        <v>281</v>
      </c>
      <c r="B51" t="s">
        <v>232</v>
      </c>
      <c r="C51" t="s">
        <v>34</v>
      </c>
      <c r="D51" t="s">
        <v>95</v>
      </c>
      <c r="E51">
        <v>2</v>
      </c>
      <c r="F51">
        <v>14</v>
      </c>
    </row>
    <row r="52" spans="1:6" x14ac:dyDescent="0.2">
      <c r="A52" t="s">
        <v>282</v>
      </c>
      <c r="B52" t="s">
        <v>232</v>
      </c>
      <c r="C52" t="s">
        <v>34</v>
      </c>
      <c r="D52" t="s">
        <v>96</v>
      </c>
      <c r="E52">
        <v>1</v>
      </c>
      <c r="F52">
        <v>50</v>
      </c>
    </row>
    <row r="53" spans="1:6" x14ac:dyDescent="0.2">
      <c r="A53" t="s">
        <v>283</v>
      </c>
      <c r="B53" t="s">
        <v>232</v>
      </c>
      <c r="C53" t="s">
        <v>34</v>
      </c>
      <c r="D53" t="s">
        <v>96</v>
      </c>
      <c r="E53">
        <v>2</v>
      </c>
      <c r="F53">
        <v>14</v>
      </c>
    </row>
    <row r="54" spans="1:6" x14ac:dyDescent="0.2">
      <c r="A54" t="s">
        <v>284</v>
      </c>
      <c r="B54" t="s">
        <v>232</v>
      </c>
      <c r="C54" t="s">
        <v>34</v>
      </c>
      <c r="D54" t="s">
        <v>99</v>
      </c>
      <c r="E54">
        <v>1</v>
      </c>
      <c r="F54">
        <v>50</v>
      </c>
    </row>
    <row r="55" spans="1:6" x14ac:dyDescent="0.2">
      <c r="A55" t="s">
        <v>285</v>
      </c>
      <c r="B55" t="s">
        <v>232</v>
      </c>
      <c r="C55" t="s">
        <v>34</v>
      </c>
      <c r="D55" t="s">
        <v>99</v>
      </c>
      <c r="E55">
        <v>2</v>
      </c>
      <c r="F55">
        <v>4</v>
      </c>
    </row>
    <row r="56" spans="1:6" x14ac:dyDescent="0.2">
      <c r="A56" t="s">
        <v>286</v>
      </c>
      <c r="B56" t="s">
        <v>232</v>
      </c>
      <c r="C56" t="s">
        <v>34</v>
      </c>
      <c r="D56" t="s">
        <v>106</v>
      </c>
      <c r="E56">
        <v>1</v>
      </c>
      <c r="F56">
        <v>50</v>
      </c>
    </row>
    <row r="57" spans="1:6" x14ac:dyDescent="0.2">
      <c r="A57" t="s">
        <v>287</v>
      </c>
      <c r="B57" t="s">
        <v>232</v>
      </c>
      <c r="C57" t="s">
        <v>34</v>
      </c>
      <c r="D57" t="s">
        <v>106</v>
      </c>
      <c r="E57">
        <v>2</v>
      </c>
      <c r="F57">
        <v>4</v>
      </c>
    </row>
    <row r="58" spans="1:6" x14ac:dyDescent="0.2">
      <c r="A58" t="s">
        <v>288</v>
      </c>
      <c r="B58" t="s">
        <v>232</v>
      </c>
      <c r="C58" t="s">
        <v>34</v>
      </c>
      <c r="D58" t="s">
        <v>108</v>
      </c>
      <c r="E58">
        <v>1</v>
      </c>
      <c r="F58">
        <v>50</v>
      </c>
    </row>
    <row r="59" spans="1:6" x14ac:dyDescent="0.2">
      <c r="A59" t="s">
        <v>289</v>
      </c>
      <c r="B59" t="s">
        <v>232</v>
      </c>
      <c r="C59" t="s">
        <v>34</v>
      </c>
      <c r="D59" t="s">
        <v>108</v>
      </c>
      <c r="E59">
        <v>2</v>
      </c>
      <c r="F59">
        <v>4</v>
      </c>
    </row>
    <row r="60" spans="1:6" x14ac:dyDescent="0.2">
      <c r="A60" t="s">
        <v>290</v>
      </c>
      <c r="B60" t="s">
        <v>232</v>
      </c>
      <c r="C60" t="s">
        <v>34</v>
      </c>
      <c r="D60" t="s">
        <v>84</v>
      </c>
      <c r="E60">
        <v>1</v>
      </c>
      <c r="F60">
        <v>43</v>
      </c>
    </row>
    <row r="61" spans="1:6" x14ac:dyDescent="0.2">
      <c r="A61" t="s">
        <v>291</v>
      </c>
      <c r="B61" t="s">
        <v>232</v>
      </c>
      <c r="C61" t="s">
        <v>34</v>
      </c>
      <c r="D61" t="s">
        <v>85</v>
      </c>
      <c r="E61">
        <v>1</v>
      </c>
      <c r="F61">
        <v>43</v>
      </c>
    </row>
    <row r="62" spans="1:6" x14ac:dyDescent="0.2">
      <c r="A62" t="s">
        <v>292</v>
      </c>
      <c r="B62" t="s">
        <v>232</v>
      </c>
      <c r="C62" t="s">
        <v>34</v>
      </c>
      <c r="D62" t="s">
        <v>86</v>
      </c>
      <c r="E62">
        <v>1</v>
      </c>
      <c r="F62">
        <v>43</v>
      </c>
    </row>
    <row r="63" spans="1:6" x14ac:dyDescent="0.2">
      <c r="A63" t="s">
        <v>293</v>
      </c>
      <c r="B63" t="s">
        <v>232</v>
      </c>
      <c r="C63" t="s">
        <v>34</v>
      </c>
      <c r="D63" t="s">
        <v>87</v>
      </c>
      <c r="E63">
        <v>1</v>
      </c>
      <c r="F63">
        <v>43</v>
      </c>
    </row>
    <row r="64" spans="1:6" x14ac:dyDescent="0.2">
      <c r="A64" t="s">
        <v>294</v>
      </c>
      <c r="B64" t="s">
        <v>232</v>
      </c>
      <c r="C64" t="s">
        <v>34</v>
      </c>
      <c r="D64" t="s">
        <v>89</v>
      </c>
      <c r="E64">
        <v>1</v>
      </c>
      <c r="F64">
        <v>43</v>
      </c>
    </row>
    <row r="65" spans="1:6" x14ac:dyDescent="0.2">
      <c r="A65" t="s">
        <v>295</v>
      </c>
      <c r="B65" t="s">
        <v>232</v>
      </c>
      <c r="C65" t="s">
        <v>34</v>
      </c>
      <c r="D65" t="s">
        <v>90</v>
      </c>
      <c r="E65">
        <v>1</v>
      </c>
      <c r="F65">
        <v>43</v>
      </c>
    </row>
    <row r="66" spans="1:6" x14ac:dyDescent="0.2">
      <c r="A66" t="s">
        <v>296</v>
      </c>
      <c r="B66" t="s">
        <v>232</v>
      </c>
      <c r="C66" t="s">
        <v>34</v>
      </c>
      <c r="D66" t="s">
        <v>91</v>
      </c>
      <c r="E66">
        <v>1</v>
      </c>
      <c r="F66">
        <v>43</v>
      </c>
    </row>
    <row r="67" spans="1:6" x14ac:dyDescent="0.2">
      <c r="A67" t="s">
        <v>297</v>
      </c>
      <c r="B67" t="s">
        <v>232</v>
      </c>
      <c r="C67" t="s">
        <v>34</v>
      </c>
      <c r="D67" t="s">
        <v>92</v>
      </c>
      <c r="E67">
        <v>1</v>
      </c>
      <c r="F67">
        <v>43</v>
      </c>
    </row>
    <row r="68" spans="1:6" x14ac:dyDescent="0.2">
      <c r="A68" t="s">
        <v>298</v>
      </c>
      <c r="B68" t="s">
        <v>232</v>
      </c>
      <c r="C68" t="s">
        <v>34</v>
      </c>
      <c r="D68" t="s">
        <v>93</v>
      </c>
      <c r="E68">
        <v>1</v>
      </c>
      <c r="F68">
        <v>43</v>
      </c>
    </row>
    <row r="69" spans="1:6" x14ac:dyDescent="0.2">
      <c r="A69" t="s">
        <v>299</v>
      </c>
      <c r="B69" t="s">
        <v>232</v>
      </c>
      <c r="C69" t="s">
        <v>34</v>
      </c>
      <c r="D69" t="s">
        <v>94</v>
      </c>
      <c r="E69">
        <v>1</v>
      </c>
      <c r="F69">
        <v>43</v>
      </c>
    </row>
    <row r="70" spans="1:6" x14ac:dyDescent="0.2">
      <c r="A70" t="s">
        <v>300</v>
      </c>
      <c r="B70" t="s">
        <v>232</v>
      </c>
      <c r="C70" t="s">
        <v>34</v>
      </c>
      <c r="D70" t="s">
        <v>98</v>
      </c>
      <c r="E70">
        <v>1</v>
      </c>
      <c r="F70">
        <v>43</v>
      </c>
    </row>
    <row r="71" spans="1:6" x14ac:dyDescent="0.2">
      <c r="A71" t="s">
        <v>301</v>
      </c>
      <c r="B71" t="s">
        <v>232</v>
      </c>
      <c r="C71" t="s">
        <v>34</v>
      </c>
      <c r="D71" t="s">
        <v>100</v>
      </c>
      <c r="E71">
        <v>1</v>
      </c>
      <c r="F71">
        <v>43</v>
      </c>
    </row>
    <row r="72" spans="1:6" x14ac:dyDescent="0.2">
      <c r="A72" t="s">
        <v>302</v>
      </c>
      <c r="B72" t="s">
        <v>232</v>
      </c>
      <c r="C72" t="s">
        <v>34</v>
      </c>
      <c r="D72" t="s">
        <v>101</v>
      </c>
      <c r="E72">
        <v>1</v>
      </c>
      <c r="F72">
        <v>43</v>
      </c>
    </row>
    <row r="73" spans="1:6" x14ac:dyDescent="0.2">
      <c r="A73" t="s">
        <v>303</v>
      </c>
      <c r="B73" t="s">
        <v>232</v>
      </c>
      <c r="C73" t="s">
        <v>34</v>
      </c>
      <c r="D73" t="s">
        <v>104</v>
      </c>
      <c r="E73">
        <v>1</v>
      </c>
      <c r="F73">
        <v>43</v>
      </c>
    </row>
    <row r="74" spans="1:6" x14ac:dyDescent="0.2">
      <c r="A74" t="s">
        <v>304</v>
      </c>
      <c r="B74" t="s">
        <v>232</v>
      </c>
      <c r="C74" t="s">
        <v>34</v>
      </c>
      <c r="D74" t="s">
        <v>105</v>
      </c>
      <c r="E74">
        <v>1</v>
      </c>
      <c r="F74">
        <v>43</v>
      </c>
    </row>
    <row r="75" spans="1:6" x14ac:dyDescent="0.2">
      <c r="A75" t="s">
        <v>305</v>
      </c>
      <c r="B75" t="s">
        <v>232</v>
      </c>
      <c r="C75" t="s">
        <v>34</v>
      </c>
      <c r="D75" t="s">
        <v>107</v>
      </c>
      <c r="E75">
        <v>1</v>
      </c>
      <c r="F75">
        <v>43</v>
      </c>
    </row>
    <row r="76" spans="1:6" x14ac:dyDescent="0.2">
      <c r="A76" t="s">
        <v>306</v>
      </c>
      <c r="B76" t="s">
        <v>232</v>
      </c>
      <c r="C76" t="s">
        <v>34</v>
      </c>
      <c r="D76" t="s">
        <v>110</v>
      </c>
      <c r="E76">
        <v>1</v>
      </c>
      <c r="F76">
        <v>43</v>
      </c>
    </row>
    <row r="77" spans="1:6" x14ac:dyDescent="0.2">
      <c r="A77" t="s">
        <v>307</v>
      </c>
      <c r="B77" t="s">
        <v>232</v>
      </c>
      <c r="C77" t="s">
        <v>32</v>
      </c>
      <c r="D77" t="s">
        <v>112</v>
      </c>
      <c r="E77">
        <v>1</v>
      </c>
      <c r="F77">
        <v>50</v>
      </c>
    </row>
    <row r="78" spans="1:6" x14ac:dyDescent="0.2">
      <c r="A78" t="s">
        <v>308</v>
      </c>
      <c r="B78" t="s">
        <v>232</v>
      </c>
      <c r="C78" t="s">
        <v>32</v>
      </c>
      <c r="D78" t="s">
        <v>112</v>
      </c>
      <c r="E78">
        <v>2</v>
      </c>
      <c r="F78">
        <v>37</v>
      </c>
    </row>
    <row r="79" spans="1:6" x14ac:dyDescent="0.2">
      <c r="A79" t="s">
        <v>309</v>
      </c>
      <c r="B79" t="s">
        <v>232</v>
      </c>
      <c r="C79" t="s">
        <v>32</v>
      </c>
      <c r="D79" t="s">
        <v>119</v>
      </c>
      <c r="E79">
        <v>1</v>
      </c>
      <c r="F79">
        <v>50</v>
      </c>
    </row>
    <row r="80" spans="1:6" x14ac:dyDescent="0.2">
      <c r="A80" t="s">
        <v>310</v>
      </c>
      <c r="B80" t="s">
        <v>232</v>
      </c>
      <c r="C80" t="s">
        <v>32</v>
      </c>
      <c r="D80" t="s">
        <v>119</v>
      </c>
      <c r="E80">
        <v>2</v>
      </c>
      <c r="F80">
        <v>15</v>
      </c>
    </row>
    <row r="81" spans="1:6" x14ac:dyDescent="0.2">
      <c r="A81" t="s">
        <v>311</v>
      </c>
      <c r="B81" t="s">
        <v>232</v>
      </c>
      <c r="C81" t="s">
        <v>32</v>
      </c>
      <c r="D81" t="s">
        <v>121</v>
      </c>
      <c r="E81">
        <v>1</v>
      </c>
      <c r="F81">
        <v>50</v>
      </c>
    </row>
    <row r="82" spans="1:6" x14ac:dyDescent="0.2">
      <c r="A82" t="s">
        <v>312</v>
      </c>
      <c r="B82" t="s">
        <v>232</v>
      </c>
      <c r="C82" t="s">
        <v>32</v>
      </c>
      <c r="D82" t="s">
        <v>121</v>
      </c>
      <c r="E82">
        <v>2</v>
      </c>
      <c r="F82">
        <v>15</v>
      </c>
    </row>
    <row r="83" spans="1:6" x14ac:dyDescent="0.2">
      <c r="A83" t="s">
        <v>313</v>
      </c>
      <c r="B83" t="s">
        <v>232</v>
      </c>
      <c r="C83" t="s">
        <v>32</v>
      </c>
      <c r="D83" t="s">
        <v>125</v>
      </c>
      <c r="E83">
        <v>1</v>
      </c>
      <c r="F83">
        <v>50</v>
      </c>
    </row>
    <row r="84" spans="1:6" x14ac:dyDescent="0.2">
      <c r="A84" t="s">
        <v>314</v>
      </c>
      <c r="B84" t="s">
        <v>232</v>
      </c>
      <c r="C84" t="s">
        <v>32</v>
      </c>
      <c r="D84" t="s">
        <v>125</v>
      </c>
      <c r="E84">
        <v>2</v>
      </c>
      <c r="F84">
        <v>15</v>
      </c>
    </row>
    <row r="85" spans="1:6" x14ac:dyDescent="0.2">
      <c r="A85" t="s">
        <v>315</v>
      </c>
      <c r="B85" t="s">
        <v>232</v>
      </c>
      <c r="C85" t="s">
        <v>32</v>
      </c>
      <c r="D85" t="s">
        <v>132</v>
      </c>
      <c r="E85">
        <v>1</v>
      </c>
      <c r="F85">
        <v>50</v>
      </c>
    </row>
    <row r="86" spans="1:6" x14ac:dyDescent="0.2">
      <c r="A86" t="s">
        <v>316</v>
      </c>
      <c r="B86" t="s">
        <v>232</v>
      </c>
      <c r="C86" t="s">
        <v>32</v>
      </c>
      <c r="D86" t="s">
        <v>132</v>
      </c>
      <c r="E86">
        <v>2</v>
      </c>
      <c r="F86">
        <v>15</v>
      </c>
    </row>
    <row r="87" spans="1:6" x14ac:dyDescent="0.2">
      <c r="A87" t="s">
        <v>317</v>
      </c>
      <c r="B87" t="s">
        <v>232</v>
      </c>
      <c r="C87" t="s">
        <v>32</v>
      </c>
      <c r="D87" t="s">
        <v>137</v>
      </c>
      <c r="E87">
        <v>1</v>
      </c>
      <c r="F87">
        <v>50</v>
      </c>
    </row>
    <row r="88" spans="1:6" x14ac:dyDescent="0.2">
      <c r="A88" t="s">
        <v>318</v>
      </c>
      <c r="B88" t="s">
        <v>232</v>
      </c>
      <c r="C88" t="s">
        <v>32</v>
      </c>
      <c r="D88" t="s">
        <v>137</v>
      </c>
      <c r="E88">
        <v>2</v>
      </c>
      <c r="F88">
        <v>15</v>
      </c>
    </row>
    <row r="89" spans="1:6" x14ac:dyDescent="0.2">
      <c r="A89" t="s">
        <v>319</v>
      </c>
      <c r="B89" t="s">
        <v>232</v>
      </c>
      <c r="C89" t="s">
        <v>32</v>
      </c>
      <c r="D89" t="s">
        <v>144</v>
      </c>
      <c r="E89">
        <v>1</v>
      </c>
      <c r="F89">
        <v>50</v>
      </c>
    </row>
    <row r="90" spans="1:6" x14ac:dyDescent="0.2">
      <c r="A90" t="s">
        <v>320</v>
      </c>
      <c r="B90" t="s">
        <v>232</v>
      </c>
      <c r="C90" t="s">
        <v>32</v>
      </c>
      <c r="D90" t="s">
        <v>144</v>
      </c>
      <c r="E90">
        <v>2</v>
      </c>
      <c r="F90">
        <v>15</v>
      </c>
    </row>
    <row r="91" spans="1:6" x14ac:dyDescent="0.2">
      <c r="A91" t="s">
        <v>321</v>
      </c>
      <c r="B91" t="s">
        <v>232</v>
      </c>
      <c r="C91" t="s">
        <v>32</v>
      </c>
      <c r="D91" t="s">
        <v>133</v>
      </c>
      <c r="E91">
        <v>1</v>
      </c>
      <c r="F91">
        <v>50</v>
      </c>
    </row>
    <row r="92" spans="1:6" x14ac:dyDescent="0.2">
      <c r="A92" t="s">
        <v>322</v>
      </c>
      <c r="B92" t="s">
        <v>232</v>
      </c>
      <c r="C92" t="s">
        <v>32</v>
      </c>
      <c r="D92" t="s">
        <v>133</v>
      </c>
      <c r="E92">
        <v>2</v>
      </c>
      <c r="F92">
        <v>5</v>
      </c>
    </row>
    <row r="93" spans="1:6" x14ac:dyDescent="0.2">
      <c r="A93" t="s">
        <v>323</v>
      </c>
      <c r="B93" t="s">
        <v>232</v>
      </c>
      <c r="C93" t="s">
        <v>32</v>
      </c>
      <c r="D93" t="s">
        <v>139</v>
      </c>
      <c r="E93">
        <v>1</v>
      </c>
      <c r="F93">
        <v>50</v>
      </c>
    </row>
    <row r="94" spans="1:6" x14ac:dyDescent="0.2">
      <c r="A94" t="s">
        <v>324</v>
      </c>
      <c r="B94" t="s">
        <v>232</v>
      </c>
      <c r="C94" t="s">
        <v>32</v>
      </c>
      <c r="D94" t="s">
        <v>139</v>
      </c>
      <c r="E94">
        <v>2</v>
      </c>
      <c r="F94">
        <v>5</v>
      </c>
    </row>
    <row r="95" spans="1:6" x14ac:dyDescent="0.2">
      <c r="A95" t="s">
        <v>325</v>
      </c>
      <c r="B95" t="s">
        <v>232</v>
      </c>
      <c r="C95" t="s">
        <v>32</v>
      </c>
      <c r="D95" t="s">
        <v>115</v>
      </c>
      <c r="E95">
        <v>1</v>
      </c>
      <c r="F95">
        <v>50</v>
      </c>
    </row>
    <row r="96" spans="1:6" x14ac:dyDescent="0.2">
      <c r="A96" t="s">
        <v>326</v>
      </c>
      <c r="B96" t="s">
        <v>232</v>
      </c>
      <c r="C96" t="s">
        <v>32</v>
      </c>
      <c r="D96" t="s">
        <v>115</v>
      </c>
      <c r="E96">
        <v>2</v>
      </c>
      <c r="F96">
        <v>4</v>
      </c>
    </row>
    <row r="97" spans="1:6" x14ac:dyDescent="0.2">
      <c r="A97" t="s">
        <v>327</v>
      </c>
      <c r="B97" t="s">
        <v>232</v>
      </c>
      <c r="C97" t="s">
        <v>32</v>
      </c>
      <c r="D97" t="s">
        <v>116</v>
      </c>
      <c r="E97">
        <v>1</v>
      </c>
      <c r="F97">
        <v>50</v>
      </c>
    </row>
    <row r="98" spans="1:6" x14ac:dyDescent="0.2">
      <c r="A98" t="s">
        <v>328</v>
      </c>
      <c r="B98" t="s">
        <v>232</v>
      </c>
      <c r="C98" t="s">
        <v>32</v>
      </c>
      <c r="D98" t="s">
        <v>116</v>
      </c>
      <c r="E98">
        <v>2</v>
      </c>
      <c r="F98">
        <v>4</v>
      </c>
    </row>
    <row r="99" spans="1:6" x14ac:dyDescent="0.2">
      <c r="A99" t="s">
        <v>329</v>
      </c>
      <c r="B99" t="s">
        <v>232</v>
      </c>
      <c r="C99" t="s">
        <v>32</v>
      </c>
      <c r="D99" t="s">
        <v>117</v>
      </c>
      <c r="E99">
        <v>1</v>
      </c>
      <c r="F99">
        <v>50</v>
      </c>
    </row>
    <row r="100" spans="1:6" x14ac:dyDescent="0.2">
      <c r="A100" t="s">
        <v>330</v>
      </c>
      <c r="B100" t="s">
        <v>232</v>
      </c>
      <c r="C100" t="s">
        <v>32</v>
      </c>
      <c r="D100" t="s">
        <v>117</v>
      </c>
      <c r="E100">
        <v>2</v>
      </c>
      <c r="F100">
        <v>4</v>
      </c>
    </row>
    <row r="101" spans="1:6" x14ac:dyDescent="0.2">
      <c r="A101" t="s">
        <v>331</v>
      </c>
      <c r="B101" t="s">
        <v>232</v>
      </c>
      <c r="C101" t="s">
        <v>32</v>
      </c>
      <c r="D101" t="s">
        <v>126</v>
      </c>
      <c r="E101">
        <v>1</v>
      </c>
      <c r="F101">
        <v>50</v>
      </c>
    </row>
    <row r="102" spans="1:6" x14ac:dyDescent="0.2">
      <c r="A102" t="s">
        <v>332</v>
      </c>
      <c r="B102" t="s">
        <v>232</v>
      </c>
      <c r="C102" t="s">
        <v>32</v>
      </c>
      <c r="D102" t="s">
        <v>126</v>
      </c>
      <c r="E102">
        <v>2</v>
      </c>
      <c r="F102">
        <v>4</v>
      </c>
    </row>
    <row r="103" spans="1:6" x14ac:dyDescent="0.2">
      <c r="A103" t="s">
        <v>333</v>
      </c>
      <c r="B103" t="s">
        <v>232</v>
      </c>
      <c r="C103" t="s">
        <v>32</v>
      </c>
      <c r="D103" t="s">
        <v>111</v>
      </c>
      <c r="E103">
        <v>1</v>
      </c>
      <c r="F103">
        <v>44</v>
      </c>
    </row>
    <row r="104" spans="1:6" x14ac:dyDescent="0.2">
      <c r="A104" t="s">
        <v>334</v>
      </c>
      <c r="B104" t="s">
        <v>232</v>
      </c>
      <c r="C104" t="s">
        <v>32</v>
      </c>
      <c r="D104" t="s">
        <v>113</v>
      </c>
      <c r="E104">
        <v>1</v>
      </c>
      <c r="F104">
        <v>44</v>
      </c>
    </row>
    <row r="105" spans="1:6" x14ac:dyDescent="0.2">
      <c r="A105" t="s">
        <v>335</v>
      </c>
      <c r="B105" t="s">
        <v>232</v>
      </c>
      <c r="C105" t="s">
        <v>32</v>
      </c>
      <c r="D105" t="s">
        <v>114</v>
      </c>
      <c r="E105">
        <v>1</v>
      </c>
      <c r="F105">
        <v>44</v>
      </c>
    </row>
    <row r="106" spans="1:6" x14ac:dyDescent="0.2">
      <c r="A106" t="s">
        <v>336</v>
      </c>
      <c r="B106" t="s">
        <v>232</v>
      </c>
      <c r="C106" t="s">
        <v>32</v>
      </c>
      <c r="D106" t="s">
        <v>118</v>
      </c>
      <c r="E106">
        <v>1</v>
      </c>
      <c r="F106">
        <v>44</v>
      </c>
    </row>
    <row r="107" spans="1:6" x14ac:dyDescent="0.2">
      <c r="A107" t="s">
        <v>337</v>
      </c>
      <c r="B107" t="s">
        <v>232</v>
      </c>
      <c r="C107" t="s">
        <v>32</v>
      </c>
      <c r="D107" t="s">
        <v>120</v>
      </c>
      <c r="E107">
        <v>1</v>
      </c>
      <c r="F107">
        <v>44</v>
      </c>
    </row>
    <row r="108" spans="1:6" x14ac:dyDescent="0.2">
      <c r="A108" t="s">
        <v>338</v>
      </c>
      <c r="B108" t="s">
        <v>232</v>
      </c>
      <c r="C108" t="s">
        <v>32</v>
      </c>
      <c r="D108" t="s">
        <v>122</v>
      </c>
      <c r="E108">
        <v>1</v>
      </c>
      <c r="F108">
        <v>44</v>
      </c>
    </row>
    <row r="109" spans="1:6" x14ac:dyDescent="0.2">
      <c r="A109" t="s">
        <v>339</v>
      </c>
      <c r="B109" t="s">
        <v>232</v>
      </c>
      <c r="C109" t="s">
        <v>32</v>
      </c>
      <c r="D109" t="s">
        <v>123</v>
      </c>
      <c r="E109">
        <v>1</v>
      </c>
      <c r="F109">
        <v>44</v>
      </c>
    </row>
    <row r="110" spans="1:6" x14ac:dyDescent="0.2">
      <c r="A110" t="s">
        <v>340</v>
      </c>
      <c r="B110" t="s">
        <v>232</v>
      </c>
      <c r="C110" t="s">
        <v>32</v>
      </c>
      <c r="D110" t="s">
        <v>124</v>
      </c>
      <c r="E110">
        <v>1</v>
      </c>
      <c r="F110">
        <v>44</v>
      </c>
    </row>
    <row r="111" spans="1:6" x14ac:dyDescent="0.2">
      <c r="A111" t="s">
        <v>341</v>
      </c>
      <c r="B111" t="s">
        <v>232</v>
      </c>
      <c r="C111" t="s">
        <v>32</v>
      </c>
      <c r="D111" t="s">
        <v>127</v>
      </c>
      <c r="E111">
        <v>1</v>
      </c>
      <c r="F111">
        <v>44</v>
      </c>
    </row>
    <row r="112" spans="1:6" x14ac:dyDescent="0.2">
      <c r="A112" t="s">
        <v>342</v>
      </c>
      <c r="B112" t="s">
        <v>232</v>
      </c>
      <c r="C112" t="s">
        <v>32</v>
      </c>
      <c r="D112" t="s">
        <v>128</v>
      </c>
      <c r="E112">
        <v>1</v>
      </c>
      <c r="F112">
        <v>44</v>
      </c>
    </row>
    <row r="113" spans="1:6" x14ac:dyDescent="0.2">
      <c r="A113" t="s">
        <v>343</v>
      </c>
      <c r="B113" t="s">
        <v>232</v>
      </c>
      <c r="C113" t="s">
        <v>32</v>
      </c>
      <c r="D113" t="s">
        <v>129</v>
      </c>
      <c r="E113">
        <v>1</v>
      </c>
      <c r="F113">
        <v>44</v>
      </c>
    </row>
    <row r="114" spans="1:6" x14ac:dyDescent="0.2">
      <c r="A114" t="s">
        <v>344</v>
      </c>
      <c r="B114" t="s">
        <v>232</v>
      </c>
      <c r="C114" t="s">
        <v>32</v>
      </c>
      <c r="D114" t="s">
        <v>130</v>
      </c>
      <c r="E114">
        <v>1</v>
      </c>
      <c r="F114">
        <v>44</v>
      </c>
    </row>
    <row r="115" spans="1:6" x14ac:dyDescent="0.2">
      <c r="A115" t="s">
        <v>345</v>
      </c>
      <c r="B115" t="s">
        <v>232</v>
      </c>
      <c r="C115" t="s">
        <v>32</v>
      </c>
      <c r="D115" t="s">
        <v>131</v>
      </c>
      <c r="E115">
        <v>1</v>
      </c>
      <c r="F115">
        <v>44</v>
      </c>
    </row>
    <row r="116" spans="1:6" x14ac:dyDescent="0.2">
      <c r="A116" t="s">
        <v>346</v>
      </c>
      <c r="B116" t="s">
        <v>232</v>
      </c>
      <c r="C116" t="s">
        <v>32</v>
      </c>
      <c r="D116" t="s">
        <v>134</v>
      </c>
      <c r="E116">
        <v>1</v>
      </c>
      <c r="F116">
        <v>44</v>
      </c>
    </row>
    <row r="117" spans="1:6" x14ac:dyDescent="0.2">
      <c r="A117" t="s">
        <v>347</v>
      </c>
      <c r="B117" t="s">
        <v>232</v>
      </c>
      <c r="C117" t="s">
        <v>32</v>
      </c>
      <c r="D117" t="s">
        <v>135</v>
      </c>
      <c r="E117">
        <v>1</v>
      </c>
      <c r="F117">
        <v>44</v>
      </c>
    </row>
    <row r="118" spans="1:6" x14ac:dyDescent="0.2">
      <c r="A118" t="s">
        <v>348</v>
      </c>
      <c r="B118" t="s">
        <v>232</v>
      </c>
      <c r="C118" t="s">
        <v>32</v>
      </c>
      <c r="D118" t="s">
        <v>136</v>
      </c>
      <c r="E118">
        <v>1</v>
      </c>
      <c r="F118">
        <v>44</v>
      </c>
    </row>
    <row r="119" spans="1:6" x14ac:dyDescent="0.2">
      <c r="A119" t="s">
        <v>349</v>
      </c>
      <c r="B119" t="s">
        <v>232</v>
      </c>
      <c r="C119" t="s">
        <v>32</v>
      </c>
      <c r="D119" t="s">
        <v>138</v>
      </c>
      <c r="E119">
        <v>1</v>
      </c>
      <c r="F119">
        <v>44</v>
      </c>
    </row>
    <row r="120" spans="1:6" x14ac:dyDescent="0.2">
      <c r="A120" t="s">
        <v>350</v>
      </c>
      <c r="B120" t="s">
        <v>232</v>
      </c>
      <c r="C120" t="s">
        <v>32</v>
      </c>
      <c r="D120" t="s">
        <v>140</v>
      </c>
      <c r="E120">
        <v>1</v>
      </c>
      <c r="F120">
        <v>44</v>
      </c>
    </row>
    <row r="121" spans="1:6" x14ac:dyDescent="0.2">
      <c r="A121" t="s">
        <v>351</v>
      </c>
      <c r="B121" t="s">
        <v>232</v>
      </c>
      <c r="C121" t="s">
        <v>32</v>
      </c>
      <c r="D121" t="s">
        <v>141</v>
      </c>
      <c r="E121">
        <v>1</v>
      </c>
      <c r="F121">
        <v>44</v>
      </c>
    </row>
    <row r="122" spans="1:6" x14ac:dyDescent="0.2">
      <c r="A122" t="s">
        <v>352</v>
      </c>
      <c r="B122" t="s">
        <v>232</v>
      </c>
      <c r="C122" t="s">
        <v>32</v>
      </c>
      <c r="D122" t="s">
        <v>142</v>
      </c>
      <c r="E122">
        <v>1</v>
      </c>
      <c r="F122">
        <v>44</v>
      </c>
    </row>
    <row r="123" spans="1:6" x14ac:dyDescent="0.2">
      <c r="A123" t="s">
        <v>353</v>
      </c>
      <c r="B123" t="s">
        <v>232</v>
      </c>
      <c r="C123" t="s">
        <v>32</v>
      </c>
      <c r="D123" t="s">
        <v>143</v>
      </c>
      <c r="E123">
        <v>1</v>
      </c>
      <c r="F123">
        <v>44</v>
      </c>
    </row>
    <row r="124" spans="1:6" x14ac:dyDescent="0.2">
      <c r="A124" t="s">
        <v>354</v>
      </c>
      <c r="B124" t="s">
        <v>232</v>
      </c>
      <c r="C124" t="s">
        <v>32</v>
      </c>
      <c r="D124" t="s">
        <v>145</v>
      </c>
      <c r="E124">
        <v>1</v>
      </c>
      <c r="F124">
        <v>44</v>
      </c>
    </row>
    <row r="125" spans="1:6" x14ac:dyDescent="0.2">
      <c r="A125" t="s">
        <v>355</v>
      </c>
      <c r="B125" t="s">
        <v>232</v>
      </c>
      <c r="C125" t="s">
        <v>42</v>
      </c>
      <c r="D125" t="s">
        <v>147</v>
      </c>
      <c r="E125">
        <v>1</v>
      </c>
      <c r="F125">
        <v>50</v>
      </c>
    </row>
    <row r="126" spans="1:6" x14ac:dyDescent="0.2">
      <c r="A126" t="s">
        <v>356</v>
      </c>
      <c r="B126" t="s">
        <v>232</v>
      </c>
      <c r="C126" t="s">
        <v>42</v>
      </c>
      <c r="D126" t="s">
        <v>147</v>
      </c>
      <c r="E126">
        <v>2</v>
      </c>
      <c r="F126">
        <v>14</v>
      </c>
    </row>
    <row r="127" spans="1:6" x14ac:dyDescent="0.2">
      <c r="A127" t="s">
        <v>357</v>
      </c>
      <c r="B127" t="s">
        <v>232</v>
      </c>
      <c r="C127" t="s">
        <v>42</v>
      </c>
      <c r="D127" t="s">
        <v>146</v>
      </c>
      <c r="E127">
        <v>1</v>
      </c>
      <c r="F127">
        <v>48</v>
      </c>
    </row>
    <row r="128" spans="1:6" x14ac:dyDescent="0.2">
      <c r="A128" t="s">
        <v>358</v>
      </c>
      <c r="B128" t="s">
        <v>232</v>
      </c>
      <c r="C128" t="s">
        <v>42</v>
      </c>
      <c r="D128" t="s">
        <v>148</v>
      </c>
      <c r="E128">
        <v>1</v>
      </c>
      <c r="F128">
        <v>40</v>
      </c>
    </row>
    <row r="129" spans="1:6" x14ac:dyDescent="0.2">
      <c r="A129" t="s">
        <v>359</v>
      </c>
      <c r="B129" t="s">
        <v>232</v>
      </c>
      <c r="C129" t="s">
        <v>36</v>
      </c>
      <c r="D129" t="s">
        <v>149</v>
      </c>
      <c r="E129">
        <v>1</v>
      </c>
      <c r="F129">
        <v>50</v>
      </c>
    </row>
    <row r="130" spans="1:6" x14ac:dyDescent="0.2">
      <c r="A130" t="s">
        <v>360</v>
      </c>
      <c r="B130" t="s">
        <v>232</v>
      </c>
      <c r="C130" t="s">
        <v>36</v>
      </c>
      <c r="D130" t="s">
        <v>149</v>
      </c>
      <c r="E130">
        <v>2</v>
      </c>
      <c r="F130">
        <v>32</v>
      </c>
    </row>
    <row r="131" spans="1:6" x14ac:dyDescent="0.2">
      <c r="A131" t="s">
        <v>361</v>
      </c>
      <c r="B131" t="s">
        <v>232</v>
      </c>
      <c r="C131" t="s">
        <v>36</v>
      </c>
      <c r="D131" t="s">
        <v>151</v>
      </c>
      <c r="E131">
        <v>1</v>
      </c>
      <c r="F131">
        <v>50</v>
      </c>
    </row>
    <row r="132" spans="1:6" x14ac:dyDescent="0.2">
      <c r="A132" t="s">
        <v>362</v>
      </c>
      <c r="B132" t="s">
        <v>232</v>
      </c>
      <c r="C132" t="s">
        <v>36</v>
      </c>
      <c r="D132" t="s">
        <v>151</v>
      </c>
      <c r="E132">
        <v>2</v>
      </c>
      <c r="F132">
        <v>12</v>
      </c>
    </row>
    <row r="133" spans="1:6" x14ac:dyDescent="0.2">
      <c r="A133" t="s">
        <v>363</v>
      </c>
      <c r="B133" t="s">
        <v>232</v>
      </c>
      <c r="C133" t="s">
        <v>36</v>
      </c>
      <c r="D133" t="s">
        <v>152</v>
      </c>
      <c r="E133">
        <v>1</v>
      </c>
      <c r="F133">
        <v>50</v>
      </c>
    </row>
    <row r="134" spans="1:6" x14ac:dyDescent="0.2">
      <c r="A134" t="s">
        <v>364</v>
      </c>
      <c r="B134" t="s">
        <v>232</v>
      </c>
      <c r="C134" t="s">
        <v>36</v>
      </c>
      <c r="D134" t="s">
        <v>152</v>
      </c>
      <c r="E134">
        <v>2</v>
      </c>
      <c r="F134">
        <v>12</v>
      </c>
    </row>
    <row r="135" spans="1:6" x14ac:dyDescent="0.2">
      <c r="A135" t="s">
        <v>365</v>
      </c>
      <c r="B135" t="s">
        <v>232</v>
      </c>
      <c r="C135" t="s">
        <v>36</v>
      </c>
      <c r="D135" t="s">
        <v>158</v>
      </c>
      <c r="E135">
        <v>1</v>
      </c>
      <c r="F135">
        <v>50</v>
      </c>
    </row>
    <row r="136" spans="1:6" x14ac:dyDescent="0.2">
      <c r="A136" t="s">
        <v>366</v>
      </c>
      <c r="B136" t="s">
        <v>232</v>
      </c>
      <c r="C136" t="s">
        <v>36</v>
      </c>
      <c r="D136" t="s">
        <v>158</v>
      </c>
      <c r="E136">
        <v>2</v>
      </c>
      <c r="F136">
        <v>12</v>
      </c>
    </row>
    <row r="137" spans="1:6" x14ac:dyDescent="0.2">
      <c r="A137" t="s">
        <v>367</v>
      </c>
      <c r="B137" t="s">
        <v>232</v>
      </c>
      <c r="C137" t="s">
        <v>36</v>
      </c>
      <c r="D137" t="s">
        <v>160</v>
      </c>
      <c r="E137">
        <v>1</v>
      </c>
      <c r="F137">
        <v>50</v>
      </c>
    </row>
    <row r="138" spans="1:6" x14ac:dyDescent="0.2">
      <c r="A138" t="s">
        <v>368</v>
      </c>
      <c r="B138" t="s">
        <v>232</v>
      </c>
      <c r="C138" t="s">
        <v>36</v>
      </c>
      <c r="D138" t="s">
        <v>160</v>
      </c>
      <c r="E138">
        <v>2</v>
      </c>
      <c r="F138">
        <v>12</v>
      </c>
    </row>
    <row r="139" spans="1:6" x14ac:dyDescent="0.2">
      <c r="A139" t="s">
        <v>369</v>
      </c>
      <c r="B139" t="s">
        <v>232</v>
      </c>
      <c r="C139" t="s">
        <v>36</v>
      </c>
      <c r="D139" t="s">
        <v>150</v>
      </c>
      <c r="E139">
        <v>1</v>
      </c>
      <c r="F139">
        <v>41</v>
      </c>
    </row>
    <row r="140" spans="1:6" x14ac:dyDescent="0.2">
      <c r="A140" t="s">
        <v>370</v>
      </c>
      <c r="B140" t="s">
        <v>232</v>
      </c>
      <c r="C140" t="s">
        <v>36</v>
      </c>
      <c r="D140" t="s">
        <v>153</v>
      </c>
      <c r="E140">
        <v>1</v>
      </c>
      <c r="F140">
        <v>41</v>
      </c>
    </row>
    <row r="141" spans="1:6" x14ac:dyDescent="0.2">
      <c r="A141" t="s">
        <v>371</v>
      </c>
      <c r="B141" t="s">
        <v>232</v>
      </c>
      <c r="C141" t="s">
        <v>36</v>
      </c>
      <c r="D141" t="s">
        <v>154</v>
      </c>
      <c r="E141">
        <v>1</v>
      </c>
      <c r="F141">
        <v>41</v>
      </c>
    </row>
    <row r="142" spans="1:6" x14ac:dyDescent="0.2">
      <c r="A142" t="s">
        <v>372</v>
      </c>
      <c r="B142" t="s">
        <v>232</v>
      </c>
      <c r="C142" t="s">
        <v>36</v>
      </c>
      <c r="D142" t="s">
        <v>155</v>
      </c>
      <c r="E142">
        <v>1</v>
      </c>
      <c r="F142">
        <v>41</v>
      </c>
    </row>
    <row r="143" spans="1:6" x14ac:dyDescent="0.2">
      <c r="A143" t="s">
        <v>373</v>
      </c>
      <c r="B143" t="s">
        <v>232</v>
      </c>
      <c r="C143" t="s">
        <v>36</v>
      </c>
      <c r="D143" t="s">
        <v>156</v>
      </c>
      <c r="E143">
        <v>1</v>
      </c>
      <c r="F143">
        <v>41</v>
      </c>
    </row>
    <row r="144" spans="1:6" x14ac:dyDescent="0.2">
      <c r="A144" t="s">
        <v>374</v>
      </c>
      <c r="B144" t="s">
        <v>232</v>
      </c>
      <c r="C144" t="s">
        <v>36</v>
      </c>
      <c r="D144" t="s">
        <v>157</v>
      </c>
      <c r="E144">
        <v>1</v>
      </c>
      <c r="F144">
        <v>41</v>
      </c>
    </row>
    <row r="145" spans="1:6" x14ac:dyDescent="0.2">
      <c r="A145" t="s">
        <v>375</v>
      </c>
      <c r="B145" t="s">
        <v>232</v>
      </c>
      <c r="C145" t="s">
        <v>36</v>
      </c>
      <c r="D145" t="s">
        <v>159</v>
      </c>
      <c r="E145">
        <v>1</v>
      </c>
      <c r="F145">
        <v>41</v>
      </c>
    </row>
    <row r="146" spans="1:6" x14ac:dyDescent="0.2">
      <c r="A146" t="s">
        <v>376</v>
      </c>
      <c r="B146" t="s">
        <v>232</v>
      </c>
      <c r="C146" t="s">
        <v>36</v>
      </c>
      <c r="D146" t="s">
        <v>161</v>
      </c>
      <c r="E146">
        <v>1</v>
      </c>
      <c r="F146">
        <v>41</v>
      </c>
    </row>
    <row r="147" spans="1:6" x14ac:dyDescent="0.2">
      <c r="A147" t="s">
        <v>377</v>
      </c>
      <c r="B147" t="s">
        <v>232</v>
      </c>
      <c r="C147" t="s">
        <v>35</v>
      </c>
      <c r="D147" t="s">
        <v>164</v>
      </c>
      <c r="E147">
        <v>1</v>
      </c>
      <c r="F147">
        <v>50</v>
      </c>
    </row>
    <row r="148" spans="1:6" x14ac:dyDescent="0.2">
      <c r="A148" t="s">
        <v>378</v>
      </c>
      <c r="B148" t="s">
        <v>232</v>
      </c>
      <c r="C148" t="s">
        <v>35</v>
      </c>
      <c r="D148" t="s">
        <v>164</v>
      </c>
      <c r="E148">
        <v>2</v>
      </c>
      <c r="F148">
        <v>29</v>
      </c>
    </row>
    <row r="149" spans="1:6" x14ac:dyDescent="0.2">
      <c r="A149" t="s">
        <v>379</v>
      </c>
      <c r="B149" t="s">
        <v>232</v>
      </c>
      <c r="C149" t="s">
        <v>35</v>
      </c>
      <c r="D149" t="s">
        <v>167</v>
      </c>
      <c r="E149">
        <v>1</v>
      </c>
      <c r="F149">
        <v>50</v>
      </c>
    </row>
    <row r="150" spans="1:6" x14ac:dyDescent="0.2">
      <c r="A150" t="s">
        <v>380</v>
      </c>
      <c r="B150" t="s">
        <v>232</v>
      </c>
      <c r="C150" t="s">
        <v>35</v>
      </c>
      <c r="D150" t="s">
        <v>167</v>
      </c>
      <c r="E150">
        <v>2</v>
      </c>
      <c r="F150">
        <v>29</v>
      </c>
    </row>
    <row r="151" spans="1:6" x14ac:dyDescent="0.2">
      <c r="A151" t="s">
        <v>381</v>
      </c>
      <c r="B151" t="s">
        <v>232</v>
      </c>
      <c r="C151" t="s">
        <v>35</v>
      </c>
      <c r="D151" t="s">
        <v>170</v>
      </c>
      <c r="E151">
        <v>1</v>
      </c>
      <c r="F151">
        <v>50</v>
      </c>
    </row>
    <row r="152" spans="1:6" x14ac:dyDescent="0.2">
      <c r="A152" t="s">
        <v>382</v>
      </c>
      <c r="B152" t="s">
        <v>232</v>
      </c>
      <c r="C152" t="s">
        <v>35</v>
      </c>
      <c r="D152" t="s">
        <v>170</v>
      </c>
      <c r="E152">
        <v>2</v>
      </c>
      <c r="F152">
        <v>10</v>
      </c>
    </row>
    <row r="153" spans="1:6" x14ac:dyDescent="0.2">
      <c r="A153" t="s">
        <v>383</v>
      </c>
      <c r="B153" t="s">
        <v>232</v>
      </c>
      <c r="C153" t="s">
        <v>35</v>
      </c>
      <c r="D153" t="s">
        <v>173</v>
      </c>
      <c r="E153">
        <v>1</v>
      </c>
      <c r="F153">
        <v>50</v>
      </c>
    </row>
    <row r="154" spans="1:6" x14ac:dyDescent="0.2">
      <c r="A154" t="s">
        <v>384</v>
      </c>
      <c r="B154" t="s">
        <v>232</v>
      </c>
      <c r="C154" t="s">
        <v>35</v>
      </c>
      <c r="D154" t="s">
        <v>173</v>
      </c>
      <c r="E154">
        <v>2</v>
      </c>
      <c r="F154">
        <v>10</v>
      </c>
    </row>
    <row r="155" spans="1:6" x14ac:dyDescent="0.2">
      <c r="A155" t="s">
        <v>385</v>
      </c>
      <c r="B155" t="s">
        <v>232</v>
      </c>
      <c r="C155" t="s">
        <v>35</v>
      </c>
      <c r="D155" t="s">
        <v>174</v>
      </c>
      <c r="E155">
        <v>1</v>
      </c>
      <c r="F155">
        <v>50</v>
      </c>
    </row>
    <row r="156" spans="1:6" x14ac:dyDescent="0.2">
      <c r="A156" t="s">
        <v>386</v>
      </c>
      <c r="B156" t="s">
        <v>232</v>
      </c>
      <c r="C156" t="s">
        <v>35</v>
      </c>
      <c r="D156" t="s">
        <v>174</v>
      </c>
      <c r="E156">
        <v>2</v>
      </c>
      <c r="F156">
        <v>10</v>
      </c>
    </row>
    <row r="157" spans="1:6" x14ac:dyDescent="0.2">
      <c r="A157" t="s">
        <v>387</v>
      </c>
      <c r="B157" t="s">
        <v>232</v>
      </c>
      <c r="C157" t="s">
        <v>35</v>
      </c>
      <c r="D157" t="s">
        <v>163</v>
      </c>
      <c r="E157">
        <v>1</v>
      </c>
      <c r="F157">
        <v>50</v>
      </c>
    </row>
    <row r="158" spans="1:6" x14ac:dyDescent="0.2">
      <c r="A158" t="s">
        <v>388</v>
      </c>
      <c r="B158" t="s">
        <v>232</v>
      </c>
      <c r="C158" t="s">
        <v>35</v>
      </c>
      <c r="D158" t="s">
        <v>162</v>
      </c>
      <c r="E158">
        <v>1</v>
      </c>
      <c r="F158">
        <v>40</v>
      </c>
    </row>
    <row r="159" spans="1:6" x14ac:dyDescent="0.2">
      <c r="A159" t="s">
        <v>389</v>
      </c>
      <c r="B159" t="s">
        <v>232</v>
      </c>
      <c r="C159" t="s">
        <v>35</v>
      </c>
      <c r="D159" t="s">
        <v>165</v>
      </c>
      <c r="E159">
        <v>1</v>
      </c>
      <c r="F159">
        <v>40</v>
      </c>
    </row>
    <row r="160" spans="1:6" x14ac:dyDescent="0.2">
      <c r="A160" t="s">
        <v>390</v>
      </c>
      <c r="B160" t="s">
        <v>232</v>
      </c>
      <c r="C160" t="s">
        <v>35</v>
      </c>
      <c r="D160" t="s">
        <v>166</v>
      </c>
      <c r="E160">
        <v>1</v>
      </c>
      <c r="F160">
        <v>40</v>
      </c>
    </row>
    <row r="161" spans="1:6" x14ac:dyDescent="0.2">
      <c r="A161" t="s">
        <v>391</v>
      </c>
      <c r="B161" t="s">
        <v>232</v>
      </c>
      <c r="C161" t="s">
        <v>35</v>
      </c>
      <c r="D161" t="s">
        <v>168</v>
      </c>
      <c r="E161">
        <v>1</v>
      </c>
      <c r="F161">
        <v>40</v>
      </c>
    </row>
    <row r="162" spans="1:6" x14ac:dyDescent="0.2">
      <c r="A162" t="s">
        <v>392</v>
      </c>
      <c r="B162" t="s">
        <v>232</v>
      </c>
      <c r="C162" t="s">
        <v>35</v>
      </c>
      <c r="D162" t="s">
        <v>169</v>
      </c>
      <c r="E162">
        <v>1</v>
      </c>
      <c r="F162">
        <v>40</v>
      </c>
    </row>
    <row r="163" spans="1:6" x14ac:dyDescent="0.2">
      <c r="A163" t="s">
        <v>393</v>
      </c>
      <c r="B163" t="s">
        <v>232</v>
      </c>
      <c r="C163" t="s">
        <v>35</v>
      </c>
      <c r="D163" t="s">
        <v>171</v>
      </c>
      <c r="E163">
        <v>1</v>
      </c>
      <c r="F163">
        <v>40</v>
      </c>
    </row>
    <row r="164" spans="1:6" x14ac:dyDescent="0.2">
      <c r="A164" t="s">
        <v>394</v>
      </c>
      <c r="B164" t="s">
        <v>232</v>
      </c>
      <c r="C164" t="s">
        <v>35</v>
      </c>
      <c r="D164" t="s">
        <v>172</v>
      </c>
      <c r="E164">
        <v>1</v>
      </c>
      <c r="F164">
        <v>40</v>
      </c>
    </row>
    <row r="165" spans="1:6" x14ac:dyDescent="0.2">
      <c r="A165" t="s">
        <v>395</v>
      </c>
      <c r="B165" t="s">
        <v>232</v>
      </c>
      <c r="C165" t="s">
        <v>35</v>
      </c>
      <c r="D165" t="s">
        <v>175</v>
      </c>
      <c r="E165">
        <v>1</v>
      </c>
      <c r="F165">
        <v>40</v>
      </c>
    </row>
    <row r="166" spans="1:6" x14ac:dyDescent="0.2">
      <c r="A166" t="s">
        <v>396</v>
      </c>
      <c r="B166" t="s">
        <v>232</v>
      </c>
      <c r="C166" t="s">
        <v>37</v>
      </c>
      <c r="D166" t="s">
        <v>186</v>
      </c>
      <c r="E166">
        <v>1</v>
      </c>
      <c r="F166">
        <v>50</v>
      </c>
    </row>
    <row r="167" spans="1:6" x14ac:dyDescent="0.2">
      <c r="A167" t="s">
        <v>397</v>
      </c>
      <c r="B167" t="s">
        <v>232</v>
      </c>
      <c r="C167" t="s">
        <v>37</v>
      </c>
      <c r="D167" t="s">
        <v>186</v>
      </c>
      <c r="E167">
        <v>2</v>
      </c>
      <c r="F167">
        <v>28</v>
      </c>
    </row>
    <row r="168" spans="1:6" x14ac:dyDescent="0.2">
      <c r="A168" t="s">
        <v>398</v>
      </c>
      <c r="B168" t="s">
        <v>232</v>
      </c>
      <c r="C168" t="s">
        <v>37</v>
      </c>
      <c r="D168" t="s">
        <v>180</v>
      </c>
      <c r="E168">
        <v>1</v>
      </c>
      <c r="F168">
        <v>50</v>
      </c>
    </row>
    <row r="169" spans="1:6" x14ac:dyDescent="0.2">
      <c r="A169" t="s">
        <v>399</v>
      </c>
      <c r="B169" t="s">
        <v>232</v>
      </c>
      <c r="C169" t="s">
        <v>37</v>
      </c>
      <c r="D169" t="s">
        <v>180</v>
      </c>
      <c r="E169">
        <v>2</v>
      </c>
      <c r="F169">
        <v>9</v>
      </c>
    </row>
    <row r="170" spans="1:6" x14ac:dyDescent="0.2">
      <c r="A170" t="s">
        <v>400</v>
      </c>
      <c r="B170" t="s">
        <v>232</v>
      </c>
      <c r="C170" t="s">
        <v>37</v>
      </c>
      <c r="D170" t="s">
        <v>182</v>
      </c>
      <c r="E170">
        <v>1</v>
      </c>
      <c r="F170">
        <v>50</v>
      </c>
    </row>
    <row r="171" spans="1:6" x14ac:dyDescent="0.2">
      <c r="A171" t="s">
        <v>401</v>
      </c>
      <c r="B171" t="s">
        <v>232</v>
      </c>
      <c r="C171" t="s">
        <v>37</v>
      </c>
      <c r="D171" t="s">
        <v>182</v>
      </c>
      <c r="E171">
        <v>2</v>
      </c>
      <c r="F171">
        <v>9</v>
      </c>
    </row>
    <row r="172" spans="1:6" x14ac:dyDescent="0.2">
      <c r="A172" t="s">
        <v>402</v>
      </c>
      <c r="B172" t="s">
        <v>232</v>
      </c>
      <c r="C172" t="s">
        <v>37</v>
      </c>
      <c r="D172" t="s">
        <v>176</v>
      </c>
      <c r="E172">
        <v>1</v>
      </c>
      <c r="F172">
        <v>50</v>
      </c>
    </row>
    <row r="173" spans="1:6" x14ac:dyDescent="0.2">
      <c r="A173" t="s">
        <v>403</v>
      </c>
      <c r="B173" t="s">
        <v>232</v>
      </c>
      <c r="C173" t="s">
        <v>37</v>
      </c>
      <c r="D173" t="s">
        <v>176</v>
      </c>
      <c r="E173">
        <v>2</v>
      </c>
      <c r="F173">
        <v>8</v>
      </c>
    </row>
    <row r="174" spans="1:6" x14ac:dyDescent="0.2">
      <c r="A174" t="s">
        <v>404</v>
      </c>
      <c r="B174" t="s">
        <v>232</v>
      </c>
      <c r="C174" t="s">
        <v>37</v>
      </c>
      <c r="D174" t="s">
        <v>178</v>
      </c>
      <c r="E174">
        <v>1</v>
      </c>
      <c r="F174">
        <v>50</v>
      </c>
    </row>
    <row r="175" spans="1:6" x14ac:dyDescent="0.2">
      <c r="A175" t="s">
        <v>405</v>
      </c>
      <c r="B175" t="s">
        <v>232</v>
      </c>
      <c r="C175" t="s">
        <v>37</v>
      </c>
      <c r="D175" t="s">
        <v>178</v>
      </c>
      <c r="E175">
        <v>2</v>
      </c>
      <c r="F175">
        <v>8</v>
      </c>
    </row>
    <row r="176" spans="1:6" x14ac:dyDescent="0.2">
      <c r="A176" t="s">
        <v>406</v>
      </c>
      <c r="B176" t="s">
        <v>232</v>
      </c>
      <c r="C176" t="s">
        <v>37</v>
      </c>
      <c r="D176" t="s">
        <v>185</v>
      </c>
      <c r="E176">
        <v>1</v>
      </c>
      <c r="F176">
        <v>49</v>
      </c>
    </row>
    <row r="177" spans="1:6" x14ac:dyDescent="0.2">
      <c r="A177" t="s">
        <v>407</v>
      </c>
      <c r="B177" t="s">
        <v>232</v>
      </c>
      <c r="C177" t="s">
        <v>37</v>
      </c>
      <c r="D177" t="s">
        <v>177</v>
      </c>
      <c r="E177">
        <v>1</v>
      </c>
      <c r="F177">
        <v>39</v>
      </c>
    </row>
    <row r="178" spans="1:6" x14ac:dyDescent="0.2">
      <c r="A178" t="s">
        <v>408</v>
      </c>
      <c r="B178" t="s">
        <v>232</v>
      </c>
      <c r="C178" t="s">
        <v>37</v>
      </c>
      <c r="D178" t="s">
        <v>179</v>
      </c>
      <c r="E178">
        <v>1</v>
      </c>
      <c r="F178">
        <v>39</v>
      </c>
    </row>
    <row r="179" spans="1:6" x14ac:dyDescent="0.2">
      <c r="A179" t="s">
        <v>409</v>
      </c>
      <c r="B179" t="s">
        <v>232</v>
      </c>
      <c r="C179" t="s">
        <v>37</v>
      </c>
      <c r="D179" t="s">
        <v>181</v>
      </c>
      <c r="E179">
        <v>1</v>
      </c>
      <c r="F179">
        <v>39</v>
      </c>
    </row>
    <row r="180" spans="1:6" x14ac:dyDescent="0.2">
      <c r="A180" t="s">
        <v>410</v>
      </c>
      <c r="B180" t="s">
        <v>232</v>
      </c>
      <c r="C180" t="s">
        <v>37</v>
      </c>
      <c r="D180" t="s">
        <v>183</v>
      </c>
      <c r="E180">
        <v>1</v>
      </c>
      <c r="F180">
        <v>39</v>
      </c>
    </row>
    <row r="181" spans="1:6" x14ac:dyDescent="0.2">
      <c r="A181" t="s">
        <v>411</v>
      </c>
      <c r="B181" t="s">
        <v>232</v>
      </c>
      <c r="C181" t="s">
        <v>37</v>
      </c>
      <c r="D181" t="s">
        <v>184</v>
      </c>
      <c r="E181">
        <v>1</v>
      </c>
      <c r="F181">
        <v>39</v>
      </c>
    </row>
    <row r="182" spans="1:6" x14ac:dyDescent="0.2">
      <c r="A182" t="s">
        <v>412</v>
      </c>
      <c r="B182" t="s">
        <v>232</v>
      </c>
      <c r="C182" t="s">
        <v>30</v>
      </c>
      <c r="D182" t="s">
        <v>209</v>
      </c>
      <c r="E182">
        <v>1</v>
      </c>
      <c r="F182">
        <v>50</v>
      </c>
    </row>
    <row r="183" spans="1:6" x14ac:dyDescent="0.2">
      <c r="A183" t="s">
        <v>413</v>
      </c>
      <c r="B183" t="s">
        <v>232</v>
      </c>
      <c r="C183" t="s">
        <v>30</v>
      </c>
      <c r="D183" t="s">
        <v>209</v>
      </c>
      <c r="E183">
        <v>2</v>
      </c>
      <c r="F183">
        <v>40</v>
      </c>
    </row>
    <row r="184" spans="1:6" x14ac:dyDescent="0.2">
      <c r="A184" t="s">
        <v>414</v>
      </c>
      <c r="B184" t="s">
        <v>232</v>
      </c>
      <c r="C184" t="s">
        <v>30</v>
      </c>
      <c r="D184" t="s">
        <v>203</v>
      </c>
      <c r="E184">
        <v>1</v>
      </c>
      <c r="F184">
        <v>50</v>
      </c>
    </row>
    <row r="185" spans="1:6" x14ac:dyDescent="0.2">
      <c r="A185" t="s">
        <v>415</v>
      </c>
      <c r="B185" t="s">
        <v>232</v>
      </c>
      <c r="C185" t="s">
        <v>30</v>
      </c>
      <c r="D185" t="s">
        <v>203</v>
      </c>
      <c r="E185">
        <v>2</v>
      </c>
      <c r="F185">
        <v>18</v>
      </c>
    </row>
    <row r="186" spans="1:6" x14ac:dyDescent="0.2">
      <c r="A186" t="s">
        <v>416</v>
      </c>
      <c r="B186" t="s">
        <v>232</v>
      </c>
      <c r="C186" t="s">
        <v>30</v>
      </c>
      <c r="D186" t="s">
        <v>206</v>
      </c>
      <c r="E186">
        <v>1</v>
      </c>
      <c r="F186">
        <v>50</v>
      </c>
    </row>
    <row r="187" spans="1:6" x14ac:dyDescent="0.2">
      <c r="A187" t="s">
        <v>417</v>
      </c>
      <c r="B187" t="s">
        <v>232</v>
      </c>
      <c r="C187" t="s">
        <v>30</v>
      </c>
      <c r="D187" t="s">
        <v>206</v>
      </c>
      <c r="E187">
        <v>2</v>
      </c>
      <c r="F187">
        <v>18</v>
      </c>
    </row>
    <row r="188" spans="1:6" x14ac:dyDescent="0.2">
      <c r="A188" t="s">
        <v>418</v>
      </c>
      <c r="B188" t="s">
        <v>232</v>
      </c>
      <c r="C188" t="s">
        <v>30</v>
      </c>
      <c r="D188" t="s">
        <v>210</v>
      </c>
      <c r="E188">
        <v>1</v>
      </c>
      <c r="F188">
        <v>50</v>
      </c>
    </row>
    <row r="189" spans="1:6" x14ac:dyDescent="0.2">
      <c r="A189" t="s">
        <v>419</v>
      </c>
      <c r="B189" t="s">
        <v>232</v>
      </c>
      <c r="C189" t="s">
        <v>30</v>
      </c>
      <c r="D189" t="s">
        <v>210</v>
      </c>
      <c r="E189">
        <v>2</v>
      </c>
      <c r="F189">
        <v>18</v>
      </c>
    </row>
    <row r="190" spans="1:6" x14ac:dyDescent="0.2">
      <c r="A190" t="s">
        <v>420</v>
      </c>
      <c r="B190" t="s">
        <v>232</v>
      </c>
      <c r="C190" t="s">
        <v>30</v>
      </c>
      <c r="D190" t="s">
        <v>191</v>
      </c>
      <c r="E190">
        <v>1</v>
      </c>
      <c r="F190">
        <v>50</v>
      </c>
    </row>
    <row r="191" spans="1:6" x14ac:dyDescent="0.2">
      <c r="A191" t="s">
        <v>421</v>
      </c>
      <c r="B191" t="s">
        <v>232</v>
      </c>
      <c r="C191" t="s">
        <v>30</v>
      </c>
      <c r="D191" t="s">
        <v>191</v>
      </c>
      <c r="E191">
        <v>2</v>
      </c>
      <c r="F191">
        <v>17</v>
      </c>
    </row>
    <row r="192" spans="1:6" x14ac:dyDescent="0.2">
      <c r="A192" t="s">
        <v>422</v>
      </c>
      <c r="B192" t="s">
        <v>232</v>
      </c>
      <c r="C192" t="s">
        <v>30</v>
      </c>
      <c r="D192" t="s">
        <v>200</v>
      </c>
      <c r="E192">
        <v>1</v>
      </c>
      <c r="F192">
        <v>50</v>
      </c>
    </row>
    <row r="193" spans="1:6" x14ac:dyDescent="0.2">
      <c r="A193" t="s">
        <v>423</v>
      </c>
      <c r="B193" t="s">
        <v>232</v>
      </c>
      <c r="C193" t="s">
        <v>30</v>
      </c>
      <c r="D193" t="s">
        <v>200</v>
      </c>
      <c r="E193">
        <v>2</v>
      </c>
      <c r="F193">
        <v>17</v>
      </c>
    </row>
    <row r="194" spans="1:6" x14ac:dyDescent="0.2">
      <c r="A194" t="s">
        <v>424</v>
      </c>
      <c r="B194" t="s">
        <v>232</v>
      </c>
      <c r="C194" t="s">
        <v>30</v>
      </c>
      <c r="D194" t="s">
        <v>193</v>
      </c>
      <c r="E194">
        <v>1</v>
      </c>
      <c r="F194">
        <v>50</v>
      </c>
    </row>
    <row r="195" spans="1:6" x14ac:dyDescent="0.2">
      <c r="A195" t="s">
        <v>425</v>
      </c>
      <c r="B195" t="s">
        <v>232</v>
      </c>
      <c r="C195" t="s">
        <v>30</v>
      </c>
      <c r="D195" t="s">
        <v>193</v>
      </c>
      <c r="E195">
        <v>2</v>
      </c>
      <c r="F195">
        <v>6</v>
      </c>
    </row>
    <row r="196" spans="1:6" x14ac:dyDescent="0.2">
      <c r="A196" t="s">
        <v>426</v>
      </c>
      <c r="B196" t="s">
        <v>232</v>
      </c>
      <c r="C196" t="s">
        <v>30</v>
      </c>
      <c r="D196" t="s">
        <v>195</v>
      </c>
      <c r="E196">
        <v>1</v>
      </c>
      <c r="F196">
        <v>50</v>
      </c>
    </row>
    <row r="197" spans="1:6" x14ac:dyDescent="0.2">
      <c r="A197" t="s">
        <v>427</v>
      </c>
      <c r="B197" t="s">
        <v>232</v>
      </c>
      <c r="C197" t="s">
        <v>30</v>
      </c>
      <c r="D197" t="s">
        <v>195</v>
      </c>
      <c r="E197">
        <v>2</v>
      </c>
      <c r="F197">
        <v>6</v>
      </c>
    </row>
    <row r="198" spans="1:6" x14ac:dyDescent="0.2">
      <c r="A198" t="s">
        <v>428</v>
      </c>
      <c r="B198" t="s">
        <v>232</v>
      </c>
      <c r="C198" t="s">
        <v>30</v>
      </c>
      <c r="D198" t="s">
        <v>208</v>
      </c>
      <c r="E198">
        <v>1</v>
      </c>
      <c r="F198">
        <v>50</v>
      </c>
    </row>
    <row r="199" spans="1:6" x14ac:dyDescent="0.2">
      <c r="A199" t="s">
        <v>429</v>
      </c>
      <c r="B199" t="s">
        <v>232</v>
      </c>
      <c r="C199" t="s">
        <v>30</v>
      </c>
      <c r="D199" t="s">
        <v>208</v>
      </c>
      <c r="E199">
        <v>2</v>
      </c>
      <c r="F199">
        <v>6</v>
      </c>
    </row>
    <row r="200" spans="1:6" x14ac:dyDescent="0.2">
      <c r="A200" t="s">
        <v>430</v>
      </c>
      <c r="B200" t="s">
        <v>232</v>
      </c>
      <c r="C200" t="s">
        <v>30</v>
      </c>
      <c r="D200" t="s">
        <v>212</v>
      </c>
      <c r="E200">
        <v>1</v>
      </c>
      <c r="F200">
        <v>50</v>
      </c>
    </row>
    <row r="201" spans="1:6" x14ac:dyDescent="0.2">
      <c r="A201" t="s">
        <v>431</v>
      </c>
      <c r="B201" t="s">
        <v>232</v>
      </c>
      <c r="C201" t="s">
        <v>30</v>
      </c>
      <c r="D201" t="s">
        <v>212</v>
      </c>
      <c r="E201">
        <v>2</v>
      </c>
      <c r="F201">
        <v>6</v>
      </c>
    </row>
    <row r="202" spans="1:6" x14ac:dyDescent="0.2">
      <c r="A202" t="s">
        <v>432</v>
      </c>
      <c r="B202" t="s">
        <v>232</v>
      </c>
      <c r="C202" t="s">
        <v>30</v>
      </c>
      <c r="D202" t="s">
        <v>218</v>
      </c>
      <c r="E202">
        <v>1</v>
      </c>
      <c r="F202">
        <v>50</v>
      </c>
    </row>
    <row r="203" spans="1:6" x14ac:dyDescent="0.2">
      <c r="A203" t="s">
        <v>433</v>
      </c>
      <c r="B203" t="s">
        <v>232</v>
      </c>
      <c r="C203" t="s">
        <v>30</v>
      </c>
      <c r="D203" t="s">
        <v>218</v>
      </c>
      <c r="E203">
        <v>2</v>
      </c>
      <c r="F203">
        <v>6</v>
      </c>
    </row>
    <row r="204" spans="1:6" x14ac:dyDescent="0.2">
      <c r="A204" t="s">
        <v>434</v>
      </c>
      <c r="B204" t="s">
        <v>232</v>
      </c>
      <c r="C204" t="s">
        <v>30</v>
      </c>
      <c r="D204" t="s">
        <v>220</v>
      </c>
      <c r="E204">
        <v>1</v>
      </c>
      <c r="F204">
        <v>50</v>
      </c>
    </row>
    <row r="205" spans="1:6" x14ac:dyDescent="0.2">
      <c r="A205" t="s">
        <v>435</v>
      </c>
      <c r="B205" t="s">
        <v>232</v>
      </c>
      <c r="C205" t="s">
        <v>30</v>
      </c>
      <c r="D205" t="s">
        <v>220</v>
      </c>
      <c r="E205">
        <v>2</v>
      </c>
      <c r="F205">
        <v>6</v>
      </c>
    </row>
    <row r="206" spans="1:6" x14ac:dyDescent="0.2">
      <c r="A206" t="s">
        <v>436</v>
      </c>
      <c r="B206" t="s">
        <v>232</v>
      </c>
      <c r="C206" t="s">
        <v>30</v>
      </c>
      <c r="D206" t="s">
        <v>187</v>
      </c>
      <c r="E206">
        <v>1</v>
      </c>
      <c r="F206">
        <v>45</v>
      </c>
    </row>
    <row r="207" spans="1:6" x14ac:dyDescent="0.2">
      <c r="A207" t="s">
        <v>437</v>
      </c>
      <c r="B207" t="s">
        <v>232</v>
      </c>
      <c r="C207" t="s">
        <v>30</v>
      </c>
      <c r="D207" t="s">
        <v>188</v>
      </c>
      <c r="E207">
        <v>1</v>
      </c>
      <c r="F207">
        <v>45</v>
      </c>
    </row>
    <row r="208" spans="1:6" x14ac:dyDescent="0.2">
      <c r="A208" t="s">
        <v>438</v>
      </c>
      <c r="B208" t="s">
        <v>232</v>
      </c>
      <c r="C208" t="s">
        <v>30</v>
      </c>
      <c r="D208" t="s">
        <v>189</v>
      </c>
      <c r="E208">
        <v>1</v>
      </c>
      <c r="F208">
        <v>45</v>
      </c>
    </row>
    <row r="209" spans="1:6" x14ac:dyDescent="0.2">
      <c r="A209" t="s">
        <v>439</v>
      </c>
      <c r="B209" t="s">
        <v>232</v>
      </c>
      <c r="C209" t="s">
        <v>30</v>
      </c>
      <c r="D209" t="s">
        <v>190</v>
      </c>
      <c r="E209">
        <v>1</v>
      </c>
      <c r="F209">
        <v>45</v>
      </c>
    </row>
    <row r="210" spans="1:6" x14ac:dyDescent="0.2">
      <c r="A210" t="s">
        <v>440</v>
      </c>
      <c r="B210" t="s">
        <v>232</v>
      </c>
      <c r="C210" t="s">
        <v>30</v>
      </c>
      <c r="D210" t="s">
        <v>192</v>
      </c>
      <c r="E210">
        <v>1</v>
      </c>
      <c r="F210">
        <v>45</v>
      </c>
    </row>
    <row r="211" spans="1:6" x14ac:dyDescent="0.2">
      <c r="A211" t="s">
        <v>441</v>
      </c>
      <c r="B211" t="s">
        <v>232</v>
      </c>
      <c r="C211" t="s">
        <v>30</v>
      </c>
      <c r="D211" t="s">
        <v>194</v>
      </c>
      <c r="E211">
        <v>1</v>
      </c>
      <c r="F211">
        <v>45</v>
      </c>
    </row>
    <row r="212" spans="1:6" x14ac:dyDescent="0.2">
      <c r="A212" t="s">
        <v>442</v>
      </c>
      <c r="B212" t="s">
        <v>232</v>
      </c>
      <c r="C212" t="s">
        <v>30</v>
      </c>
      <c r="D212" t="s">
        <v>196</v>
      </c>
      <c r="E212">
        <v>1</v>
      </c>
      <c r="F212">
        <v>45</v>
      </c>
    </row>
    <row r="213" spans="1:6" x14ac:dyDescent="0.2">
      <c r="A213" t="s">
        <v>443</v>
      </c>
      <c r="B213" t="s">
        <v>232</v>
      </c>
      <c r="C213" t="s">
        <v>30</v>
      </c>
      <c r="D213" t="s">
        <v>197</v>
      </c>
      <c r="E213">
        <v>1</v>
      </c>
      <c r="F213">
        <v>45</v>
      </c>
    </row>
    <row r="214" spans="1:6" x14ac:dyDescent="0.2">
      <c r="A214" t="s">
        <v>444</v>
      </c>
      <c r="B214" t="s">
        <v>232</v>
      </c>
      <c r="C214" t="s">
        <v>30</v>
      </c>
      <c r="D214" t="s">
        <v>198</v>
      </c>
      <c r="E214">
        <v>1</v>
      </c>
      <c r="F214">
        <v>45</v>
      </c>
    </row>
    <row r="215" spans="1:6" x14ac:dyDescent="0.2">
      <c r="A215" t="s">
        <v>445</v>
      </c>
      <c r="B215" t="s">
        <v>232</v>
      </c>
      <c r="C215" t="s">
        <v>30</v>
      </c>
      <c r="D215" t="s">
        <v>199</v>
      </c>
      <c r="E215">
        <v>1</v>
      </c>
      <c r="F215">
        <v>45</v>
      </c>
    </row>
    <row r="216" spans="1:6" x14ac:dyDescent="0.2">
      <c r="A216" t="s">
        <v>446</v>
      </c>
      <c r="B216" t="s">
        <v>232</v>
      </c>
      <c r="C216" t="s">
        <v>30</v>
      </c>
      <c r="D216" t="s">
        <v>201</v>
      </c>
      <c r="E216">
        <v>1</v>
      </c>
      <c r="F216">
        <v>45</v>
      </c>
    </row>
    <row r="217" spans="1:6" x14ac:dyDescent="0.2">
      <c r="A217" t="s">
        <v>447</v>
      </c>
      <c r="B217" t="s">
        <v>232</v>
      </c>
      <c r="C217" t="s">
        <v>30</v>
      </c>
      <c r="D217" t="s">
        <v>202</v>
      </c>
      <c r="E217">
        <v>1</v>
      </c>
      <c r="F217">
        <v>45</v>
      </c>
    </row>
    <row r="218" spans="1:6" x14ac:dyDescent="0.2">
      <c r="A218" t="s">
        <v>448</v>
      </c>
      <c r="B218" t="s">
        <v>232</v>
      </c>
      <c r="C218" t="s">
        <v>30</v>
      </c>
      <c r="D218" t="s">
        <v>204</v>
      </c>
      <c r="E218">
        <v>1</v>
      </c>
      <c r="F218">
        <v>45</v>
      </c>
    </row>
    <row r="219" spans="1:6" x14ac:dyDescent="0.2">
      <c r="A219" t="s">
        <v>449</v>
      </c>
      <c r="B219" t="s">
        <v>232</v>
      </c>
      <c r="C219" t="s">
        <v>30</v>
      </c>
      <c r="D219" t="s">
        <v>205</v>
      </c>
      <c r="E219">
        <v>1</v>
      </c>
      <c r="F219">
        <v>45</v>
      </c>
    </row>
    <row r="220" spans="1:6" x14ac:dyDescent="0.2">
      <c r="A220" t="s">
        <v>450</v>
      </c>
      <c r="B220" t="s">
        <v>232</v>
      </c>
      <c r="C220" t="s">
        <v>30</v>
      </c>
      <c r="D220" t="s">
        <v>207</v>
      </c>
      <c r="E220">
        <v>1</v>
      </c>
      <c r="F220">
        <v>45</v>
      </c>
    </row>
    <row r="221" spans="1:6" x14ac:dyDescent="0.2">
      <c r="A221" t="s">
        <v>451</v>
      </c>
      <c r="B221" t="s">
        <v>232</v>
      </c>
      <c r="C221" t="s">
        <v>30</v>
      </c>
      <c r="D221" t="s">
        <v>211</v>
      </c>
      <c r="E221">
        <v>1</v>
      </c>
      <c r="F221">
        <v>45</v>
      </c>
    </row>
    <row r="222" spans="1:6" x14ac:dyDescent="0.2">
      <c r="A222" t="s">
        <v>452</v>
      </c>
      <c r="B222" t="s">
        <v>232</v>
      </c>
      <c r="C222" t="s">
        <v>30</v>
      </c>
      <c r="D222" t="s">
        <v>213</v>
      </c>
      <c r="E222">
        <v>1</v>
      </c>
      <c r="F222">
        <v>45</v>
      </c>
    </row>
    <row r="223" spans="1:6" x14ac:dyDescent="0.2">
      <c r="A223" t="s">
        <v>453</v>
      </c>
      <c r="B223" t="s">
        <v>232</v>
      </c>
      <c r="C223" t="s">
        <v>30</v>
      </c>
      <c r="D223" t="s">
        <v>214</v>
      </c>
      <c r="E223">
        <v>1</v>
      </c>
      <c r="F223">
        <v>45</v>
      </c>
    </row>
    <row r="224" spans="1:6" x14ac:dyDescent="0.2">
      <c r="A224" t="s">
        <v>454</v>
      </c>
      <c r="B224" t="s">
        <v>232</v>
      </c>
      <c r="C224" t="s">
        <v>30</v>
      </c>
      <c r="D224" t="s">
        <v>215</v>
      </c>
      <c r="E224">
        <v>1</v>
      </c>
      <c r="F224">
        <v>45</v>
      </c>
    </row>
    <row r="225" spans="1:6" x14ac:dyDescent="0.2">
      <c r="A225" t="s">
        <v>455</v>
      </c>
      <c r="B225" t="s">
        <v>232</v>
      </c>
      <c r="C225" t="s">
        <v>30</v>
      </c>
      <c r="D225" t="s">
        <v>216</v>
      </c>
      <c r="E225">
        <v>1</v>
      </c>
      <c r="F225">
        <v>45</v>
      </c>
    </row>
    <row r="226" spans="1:6" x14ac:dyDescent="0.2">
      <c r="A226" t="s">
        <v>456</v>
      </c>
      <c r="B226" t="s">
        <v>232</v>
      </c>
      <c r="C226" t="s">
        <v>30</v>
      </c>
      <c r="D226" t="s">
        <v>217</v>
      </c>
      <c r="E226">
        <v>1</v>
      </c>
      <c r="F226">
        <v>45</v>
      </c>
    </row>
    <row r="227" spans="1:6" x14ac:dyDescent="0.2">
      <c r="A227" t="s">
        <v>457</v>
      </c>
      <c r="B227" t="s">
        <v>232</v>
      </c>
      <c r="C227" t="s">
        <v>30</v>
      </c>
      <c r="D227" t="s">
        <v>219</v>
      </c>
      <c r="E227">
        <v>1</v>
      </c>
      <c r="F227">
        <v>45</v>
      </c>
    </row>
    <row r="228" spans="1:6" x14ac:dyDescent="0.2">
      <c r="A228" t="s">
        <v>458</v>
      </c>
      <c r="B228" t="s">
        <v>232</v>
      </c>
      <c r="C228" t="s">
        <v>30</v>
      </c>
      <c r="D228" t="s">
        <v>221</v>
      </c>
      <c r="E228">
        <v>1</v>
      </c>
      <c r="F228">
        <v>45</v>
      </c>
    </row>
    <row r="229" spans="1:6" x14ac:dyDescent="0.2">
      <c r="A229" t="s">
        <v>459</v>
      </c>
      <c r="B229" t="s">
        <v>232</v>
      </c>
      <c r="C229" t="s">
        <v>30</v>
      </c>
      <c r="D229" t="s">
        <v>222</v>
      </c>
      <c r="E229">
        <v>1</v>
      </c>
      <c r="F229">
        <v>45</v>
      </c>
    </row>
    <row r="230" spans="1:6" x14ac:dyDescent="0.2">
      <c r="A230" t="s">
        <v>460</v>
      </c>
      <c r="B230" t="s">
        <v>232</v>
      </c>
      <c r="C230" t="s">
        <v>30</v>
      </c>
      <c r="D230" t="s">
        <v>223</v>
      </c>
      <c r="E230">
        <v>1</v>
      </c>
      <c r="F230">
        <v>45</v>
      </c>
    </row>
    <row r="231" spans="1:6" x14ac:dyDescent="0.2">
      <c r="A231" t="s">
        <v>461</v>
      </c>
      <c r="B231" t="s">
        <v>232</v>
      </c>
      <c r="C231" t="s">
        <v>30</v>
      </c>
      <c r="D231" t="s">
        <v>224</v>
      </c>
      <c r="E231">
        <v>1</v>
      </c>
      <c r="F231">
        <v>45</v>
      </c>
    </row>
    <row r="232" spans="1:6" x14ac:dyDescent="0.2">
      <c r="A232" t="s">
        <v>462</v>
      </c>
      <c r="B232" t="s">
        <v>232</v>
      </c>
      <c r="C232" t="s">
        <v>30</v>
      </c>
      <c r="D232" t="s">
        <v>225</v>
      </c>
      <c r="E232">
        <v>1</v>
      </c>
      <c r="F232">
        <v>45</v>
      </c>
    </row>
    <row r="233" spans="1:6" x14ac:dyDescent="0.2">
      <c r="A233" t="s">
        <v>463</v>
      </c>
      <c r="B233" t="s">
        <v>232</v>
      </c>
      <c r="C233" t="s">
        <v>30</v>
      </c>
      <c r="D233" t="s">
        <v>226</v>
      </c>
      <c r="E233">
        <v>1</v>
      </c>
      <c r="F233">
        <v>45</v>
      </c>
    </row>
    <row r="234" spans="1:6" x14ac:dyDescent="0.2">
      <c r="A234" t="s">
        <v>464</v>
      </c>
      <c r="B234" t="s">
        <v>465</v>
      </c>
      <c r="E234">
        <v>1</v>
      </c>
      <c r="F234">
        <v>50</v>
      </c>
    </row>
    <row r="235" spans="1:6" x14ac:dyDescent="0.2">
      <c r="A235" t="s">
        <v>466</v>
      </c>
      <c r="B235" t="s">
        <v>465</v>
      </c>
      <c r="E235">
        <v>2</v>
      </c>
      <c r="F235">
        <v>50</v>
      </c>
    </row>
    <row r="236" spans="1:6" x14ac:dyDescent="0.2">
      <c r="A236" t="s">
        <v>467</v>
      </c>
      <c r="B236" t="s">
        <v>465</v>
      </c>
      <c r="E236">
        <v>3</v>
      </c>
      <c r="F236">
        <v>50</v>
      </c>
    </row>
    <row r="237" spans="1:6" x14ac:dyDescent="0.2">
      <c r="A237" t="s">
        <v>468</v>
      </c>
      <c r="B237" t="s">
        <v>465</v>
      </c>
      <c r="E237">
        <v>4</v>
      </c>
      <c r="F237">
        <v>50</v>
      </c>
    </row>
    <row r="238" spans="1:6" x14ac:dyDescent="0.2">
      <c r="A238" t="s">
        <v>469</v>
      </c>
      <c r="B238" t="s">
        <v>465</v>
      </c>
      <c r="E238">
        <v>5</v>
      </c>
      <c r="F238">
        <v>50</v>
      </c>
    </row>
    <row r="239" spans="1:6" x14ac:dyDescent="0.2">
      <c r="A239" t="s">
        <v>470</v>
      </c>
      <c r="B239" t="s">
        <v>465</v>
      </c>
      <c r="E239">
        <v>6</v>
      </c>
      <c r="F239">
        <v>50</v>
      </c>
    </row>
    <row r="240" spans="1:6" x14ac:dyDescent="0.2">
      <c r="A240" t="s">
        <v>471</v>
      </c>
      <c r="B240" t="s">
        <v>465</v>
      </c>
      <c r="E240">
        <v>7</v>
      </c>
      <c r="F240">
        <v>50</v>
      </c>
    </row>
    <row r="241" spans="1:6" x14ac:dyDescent="0.2">
      <c r="A241" t="s">
        <v>472</v>
      </c>
      <c r="B241" t="s">
        <v>465</v>
      </c>
      <c r="E241">
        <v>8</v>
      </c>
      <c r="F241">
        <v>50</v>
      </c>
    </row>
    <row r="242" spans="1:6" x14ac:dyDescent="0.2">
      <c r="A242" t="s">
        <v>473</v>
      </c>
      <c r="B242" t="s">
        <v>465</v>
      </c>
      <c r="E242">
        <v>9</v>
      </c>
      <c r="F242">
        <v>50</v>
      </c>
    </row>
    <row r="243" spans="1:6" x14ac:dyDescent="0.2">
      <c r="A243" t="s">
        <v>474</v>
      </c>
      <c r="B243" t="s">
        <v>465</v>
      </c>
      <c r="E243">
        <v>10</v>
      </c>
      <c r="F243">
        <v>50</v>
      </c>
    </row>
    <row r="244" spans="1:6" x14ac:dyDescent="0.2">
      <c r="A244" t="s">
        <v>475</v>
      </c>
      <c r="B244" t="s">
        <v>465</v>
      </c>
      <c r="E244">
        <v>11</v>
      </c>
      <c r="F244">
        <v>50</v>
      </c>
    </row>
    <row r="245" spans="1:6" x14ac:dyDescent="0.2">
      <c r="A245" t="s">
        <v>476</v>
      </c>
      <c r="B245" t="s">
        <v>465</v>
      </c>
      <c r="E245">
        <v>12</v>
      </c>
      <c r="F245">
        <v>50</v>
      </c>
    </row>
    <row r="246" spans="1:6" x14ac:dyDescent="0.2">
      <c r="A246" t="s">
        <v>477</v>
      </c>
      <c r="B246" t="s">
        <v>465</v>
      </c>
      <c r="E246">
        <v>13</v>
      </c>
      <c r="F246">
        <v>50</v>
      </c>
    </row>
    <row r="247" spans="1:6" x14ac:dyDescent="0.2">
      <c r="A247" t="s">
        <v>478</v>
      </c>
      <c r="B247" t="s">
        <v>465</v>
      </c>
      <c r="E247">
        <v>14</v>
      </c>
      <c r="F247">
        <v>50</v>
      </c>
    </row>
    <row r="248" spans="1:6" x14ac:dyDescent="0.2">
      <c r="A248" t="s">
        <v>479</v>
      </c>
      <c r="B248" t="s">
        <v>465</v>
      </c>
      <c r="E248">
        <v>15</v>
      </c>
      <c r="F248">
        <v>50</v>
      </c>
    </row>
    <row r="249" spans="1:6" x14ac:dyDescent="0.2">
      <c r="A249" t="s">
        <v>480</v>
      </c>
      <c r="B249" t="s">
        <v>465</v>
      </c>
      <c r="E249">
        <v>16</v>
      </c>
      <c r="F249">
        <v>50</v>
      </c>
    </row>
    <row r="250" spans="1:6" x14ac:dyDescent="0.2">
      <c r="A250" t="s">
        <v>481</v>
      </c>
      <c r="B250" t="s">
        <v>465</v>
      </c>
      <c r="E250">
        <v>17</v>
      </c>
      <c r="F250">
        <v>50</v>
      </c>
    </row>
    <row r="251" spans="1:6" x14ac:dyDescent="0.2">
      <c r="A251" t="s">
        <v>482</v>
      </c>
      <c r="B251" t="s">
        <v>465</v>
      </c>
      <c r="E251">
        <v>18</v>
      </c>
      <c r="F251">
        <v>50</v>
      </c>
    </row>
    <row r="252" spans="1:6" x14ac:dyDescent="0.2">
      <c r="A252" t="s">
        <v>483</v>
      </c>
      <c r="B252" t="s">
        <v>465</v>
      </c>
      <c r="E252">
        <v>19</v>
      </c>
      <c r="F252">
        <v>50</v>
      </c>
    </row>
    <row r="253" spans="1:6" x14ac:dyDescent="0.2">
      <c r="A253" t="s">
        <v>484</v>
      </c>
      <c r="B253" t="s">
        <v>465</v>
      </c>
      <c r="E253">
        <v>20</v>
      </c>
      <c r="F253">
        <v>50</v>
      </c>
    </row>
    <row r="254" spans="1:6" x14ac:dyDescent="0.2">
      <c r="A254" t="s">
        <v>485</v>
      </c>
      <c r="B254" t="s">
        <v>486</v>
      </c>
      <c r="E254">
        <v>1</v>
      </c>
      <c r="F254">
        <v>50</v>
      </c>
    </row>
    <row r="255" spans="1:6" x14ac:dyDescent="0.2">
      <c r="A255" t="s">
        <v>487</v>
      </c>
      <c r="B255" t="s">
        <v>486</v>
      </c>
      <c r="E255">
        <v>2</v>
      </c>
      <c r="F255">
        <v>50</v>
      </c>
    </row>
    <row r="256" spans="1:6" x14ac:dyDescent="0.2">
      <c r="A256" t="s">
        <v>488</v>
      </c>
      <c r="B256" t="s">
        <v>486</v>
      </c>
      <c r="E256">
        <v>3</v>
      </c>
      <c r="F256">
        <v>50</v>
      </c>
    </row>
    <row r="257" spans="1:6" x14ac:dyDescent="0.2">
      <c r="A257" t="s">
        <v>489</v>
      </c>
      <c r="B257" t="s">
        <v>486</v>
      </c>
      <c r="E257">
        <v>4</v>
      </c>
      <c r="F257">
        <v>50</v>
      </c>
    </row>
    <row r="258" spans="1:6" x14ac:dyDescent="0.2">
      <c r="A258" t="s">
        <v>490</v>
      </c>
      <c r="B258" t="s">
        <v>486</v>
      </c>
      <c r="E258">
        <v>5</v>
      </c>
      <c r="F258">
        <v>50</v>
      </c>
    </row>
    <row r="259" spans="1:6" x14ac:dyDescent="0.2">
      <c r="A259" t="s">
        <v>491</v>
      </c>
      <c r="B259" t="s">
        <v>486</v>
      </c>
      <c r="E259">
        <v>6</v>
      </c>
      <c r="F259">
        <v>50</v>
      </c>
    </row>
    <row r="260" spans="1:6" x14ac:dyDescent="0.2">
      <c r="A260" t="s">
        <v>492</v>
      </c>
      <c r="B260" t="s">
        <v>486</v>
      </c>
      <c r="E260">
        <v>7</v>
      </c>
      <c r="F260">
        <v>50</v>
      </c>
    </row>
    <row r="261" spans="1:6" x14ac:dyDescent="0.2">
      <c r="A261" t="s">
        <v>493</v>
      </c>
      <c r="B261" t="s">
        <v>486</v>
      </c>
      <c r="E261">
        <v>8</v>
      </c>
      <c r="F261">
        <v>50</v>
      </c>
    </row>
    <row r="262" spans="1:6" x14ac:dyDescent="0.2">
      <c r="A262" t="s">
        <v>494</v>
      </c>
      <c r="B262" t="s">
        <v>486</v>
      </c>
      <c r="E262">
        <v>9</v>
      </c>
      <c r="F262">
        <v>50</v>
      </c>
    </row>
    <row r="263" spans="1:6" x14ac:dyDescent="0.2">
      <c r="A263" t="s">
        <v>495</v>
      </c>
      <c r="B263" t="s">
        <v>486</v>
      </c>
      <c r="E263">
        <v>10</v>
      </c>
      <c r="F263">
        <v>50</v>
      </c>
    </row>
    <row r="264" spans="1:6" x14ac:dyDescent="0.2">
      <c r="A264" s="12" t="s">
        <v>43</v>
      </c>
      <c r="B264" s="12"/>
      <c r="C264" s="12"/>
      <c r="D264" s="12"/>
      <c r="E264" s="12"/>
      <c r="F264" s="12">
        <f>SUM(F2:F263)</f>
        <v>10000</v>
      </c>
    </row>
  </sheetData>
  <autoFilter ref="A1:F26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4" customWidth="1"/>
    <col min="4" max="4" width="38" customWidth="1"/>
  </cols>
  <sheetData>
    <row r="1" spans="1:4" ht="16" customHeight="1" x14ac:dyDescent="0.2">
      <c r="A1" s="19" t="s">
        <v>20</v>
      </c>
      <c r="B1" s="19" t="s">
        <v>44</v>
      </c>
      <c r="D1" s="20" t="s">
        <v>496</v>
      </c>
    </row>
    <row r="2" spans="1:4" ht="16" customHeight="1" x14ac:dyDescent="0.2">
      <c r="A2" s="1" t="s">
        <v>38</v>
      </c>
      <c r="B2" s="1" t="s">
        <v>52</v>
      </c>
      <c r="D2" s="21" t="s">
        <v>497</v>
      </c>
    </row>
    <row r="3" spans="1:4" ht="16" customHeight="1" x14ac:dyDescent="0.2">
      <c r="A3" s="1" t="s">
        <v>38</v>
      </c>
      <c r="B3" s="1" t="s">
        <v>55</v>
      </c>
    </row>
    <row r="4" spans="1:4" ht="16" customHeight="1" x14ac:dyDescent="0.2">
      <c r="A4" s="1" t="s">
        <v>38</v>
      </c>
      <c r="B4" s="1" t="s">
        <v>58</v>
      </c>
    </row>
    <row r="5" spans="1:4" ht="16" customHeight="1" x14ac:dyDescent="0.2">
      <c r="A5" s="1" t="s">
        <v>38</v>
      </c>
      <c r="B5" s="1" t="s">
        <v>60</v>
      </c>
    </row>
    <row r="6" spans="1:4" ht="16" customHeight="1" x14ac:dyDescent="0.2">
      <c r="A6" s="1" t="s">
        <v>38</v>
      </c>
      <c r="B6" s="1" t="s">
        <v>62</v>
      </c>
    </row>
    <row r="7" spans="1:4" ht="16" customHeight="1" x14ac:dyDescent="0.2">
      <c r="A7" s="1" t="s">
        <v>38</v>
      </c>
      <c r="B7" s="1" t="s">
        <v>63</v>
      </c>
    </row>
    <row r="8" spans="1:4" ht="16" customHeight="1" x14ac:dyDescent="0.2">
      <c r="A8" s="1" t="s">
        <v>38</v>
      </c>
      <c r="B8" s="1" t="s">
        <v>64</v>
      </c>
    </row>
    <row r="9" spans="1:4" ht="16" customHeight="1" x14ac:dyDescent="0.2">
      <c r="A9" s="1" t="s">
        <v>38</v>
      </c>
      <c r="B9" s="1" t="s">
        <v>65</v>
      </c>
    </row>
    <row r="10" spans="1:4" ht="16" customHeight="1" x14ac:dyDescent="0.2">
      <c r="A10" s="1" t="s">
        <v>40</v>
      </c>
      <c r="B10" s="1" t="s">
        <v>67</v>
      </c>
    </row>
    <row r="11" spans="1:4" ht="16" customHeight="1" x14ac:dyDescent="0.2">
      <c r="A11" s="1" t="s">
        <v>40</v>
      </c>
      <c r="B11" s="1" t="s">
        <v>68</v>
      </c>
    </row>
    <row r="12" spans="1:4" ht="16" customHeight="1" x14ac:dyDescent="0.2">
      <c r="A12" s="1" t="s">
        <v>40</v>
      </c>
      <c r="B12" s="1" t="s">
        <v>69</v>
      </c>
    </row>
    <row r="13" spans="1:4" ht="16" customHeight="1" x14ac:dyDescent="0.2">
      <c r="A13" s="1" t="s">
        <v>40</v>
      </c>
      <c r="B13" s="1" t="s">
        <v>70</v>
      </c>
    </row>
    <row r="14" spans="1:4" ht="16" customHeight="1" x14ac:dyDescent="0.2">
      <c r="A14" s="1" t="s">
        <v>40</v>
      </c>
      <c r="B14" s="1" t="s">
        <v>71</v>
      </c>
    </row>
    <row r="15" spans="1:4" ht="16" customHeight="1" x14ac:dyDescent="0.2">
      <c r="A15" s="1" t="s">
        <v>40</v>
      </c>
      <c r="B15" s="1" t="s">
        <v>72</v>
      </c>
    </row>
    <row r="16" spans="1:4" ht="16" customHeight="1" x14ac:dyDescent="0.2">
      <c r="A16" s="1" t="s">
        <v>39</v>
      </c>
      <c r="B16" s="1" t="s">
        <v>73</v>
      </c>
    </row>
    <row r="17" spans="1:2" ht="16" customHeight="1" x14ac:dyDescent="0.2">
      <c r="A17" s="1" t="s">
        <v>39</v>
      </c>
      <c r="B17" s="1" t="s">
        <v>74</v>
      </c>
    </row>
    <row r="18" spans="1:2" ht="16" customHeight="1" x14ac:dyDescent="0.2">
      <c r="A18" s="1" t="s">
        <v>39</v>
      </c>
      <c r="B18" s="1" t="s">
        <v>75</v>
      </c>
    </row>
    <row r="19" spans="1:2" ht="16" customHeight="1" x14ac:dyDescent="0.2">
      <c r="A19" s="1" t="s">
        <v>39</v>
      </c>
      <c r="B19" s="1" t="s">
        <v>76</v>
      </c>
    </row>
    <row r="20" spans="1:2" ht="16" customHeight="1" x14ac:dyDescent="0.2">
      <c r="A20" s="1" t="s">
        <v>39</v>
      </c>
      <c r="B20" s="1" t="s">
        <v>77</v>
      </c>
    </row>
    <row r="21" spans="1:2" ht="16" customHeight="1" x14ac:dyDescent="0.2">
      <c r="A21" s="1" t="s">
        <v>39</v>
      </c>
      <c r="B21" s="1" t="s">
        <v>78</v>
      </c>
    </row>
    <row r="22" spans="1:2" ht="16" customHeight="1" x14ac:dyDescent="0.2">
      <c r="A22" s="1" t="s">
        <v>39</v>
      </c>
      <c r="B22" s="1" t="s">
        <v>79</v>
      </c>
    </row>
    <row r="23" spans="1:2" ht="16" customHeight="1" x14ac:dyDescent="0.2">
      <c r="A23" s="1" t="s">
        <v>41</v>
      </c>
      <c r="B23" s="1" t="s">
        <v>80</v>
      </c>
    </row>
    <row r="24" spans="1:2" ht="16" customHeight="1" x14ac:dyDescent="0.2">
      <c r="A24" s="1" t="s">
        <v>41</v>
      </c>
      <c r="B24" s="1" t="s">
        <v>81</v>
      </c>
    </row>
    <row r="25" spans="1:2" ht="16" customHeight="1" x14ac:dyDescent="0.2">
      <c r="A25" s="1" t="s">
        <v>41</v>
      </c>
      <c r="B25" s="1" t="s">
        <v>82</v>
      </c>
    </row>
    <row r="26" spans="1:2" ht="16" customHeight="1" x14ac:dyDescent="0.2">
      <c r="A26" s="1" t="s">
        <v>41</v>
      </c>
      <c r="B26" s="1" t="s">
        <v>83</v>
      </c>
    </row>
    <row r="27" spans="1:2" ht="16" customHeight="1" x14ac:dyDescent="0.2">
      <c r="A27" s="1" t="s">
        <v>34</v>
      </c>
      <c r="B27" s="1" t="s">
        <v>84</v>
      </c>
    </row>
    <row r="28" spans="1:2" ht="16" customHeight="1" x14ac:dyDescent="0.2">
      <c r="A28" s="1" t="s">
        <v>34</v>
      </c>
      <c r="B28" s="1" t="s">
        <v>85</v>
      </c>
    </row>
    <row r="29" spans="1:2" ht="16" customHeight="1" x14ac:dyDescent="0.2">
      <c r="A29" s="1" t="s">
        <v>34</v>
      </c>
      <c r="B29" s="1" t="s">
        <v>86</v>
      </c>
    </row>
    <row r="30" spans="1:2" ht="16" customHeight="1" x14ac:dyDescent="0.2">
      <c r="A30" s="1" t="s">
        <v>34</v>
      </c>
      <c r="B30" s="1" t="s">
        <v>87</v>
      </c>
    </row>
    <row r="31" spans="1:2" ht="16" customHeight="1" x14ac:dyDescent="0.2">
      <c r="A31" s="1" t="s">
        <v>34</v>
      </c>
      <c r="B31" s="1" t="s">
        <v>88</v>
      </c>
    </row>
    <row r="32" spans="1:2" ht="16" customHeight="1" x14ac:dyDescent="0.2">
      <c r="A32" s="1" t="s">
        <v>34</v>
      </c>
      <c r="B32" s="1" t="s">
        <v>89</v>
      </c>
    </row>
    <row r="33" spans="1:2" ht="16" customHeight="1" x14ac:dyDescent="0.2">
      <c r="A33" s="1" t="s">
        <v>34</v>
      </c>
      <c r="B33" s="1" t="s">
        <v>90</v>
      </c>
    </row>
    <row r="34" spans="1:2" ht="16" customHeight="1" x14ac:dyDescent="0.2">
      <c r="A34" s="1" t="s">
        <v>34</v>
      </c>
      <c r="B34" s="1" t="s">
        <v>91</v>
      </c>
    </row>
    <row r="35" spans="1:2" ht="16" customHeight="1" x14ac:dyDescent="0.2">
      <c r="A35" s="1" t="s">
        <v>34</v>
      </c>
      <c r="B35" s="1" t="s">
        <v>92</v>
      </c>
    </row>
    <row r="36" spans="1:2" ht="16" customHeight="1" x14ac:dyDescent="0.2">
      <c r="A36" s="1" t="s">
        <v>34</v>
      </c>
      <c r="B36" s="1" t="s">
        <v>93</v>
      </c>
    </row>
    <row r="37" spans="1:2" ht="16" customHeight="1" x14ac:dyDescent="0.2">
      <c r="A37" s="1" t="s">
        <v>34</v>
      </c>
      <c r="B37" s="1" t="s">
        <v>94</v>
      </c>
    </row>
    <row r="38" spans="1:2" ht="16" customHeight="1" x14ac:dyDescent="0.2">
      <c r="A38" s="1" t="s">
        <v>34</v>
      </c>
      <c r="B38" s="1" t="s">
        <v>95</v>
      </c>
    </row>
    <row r="39" spans="1:2" ht="16" customHeight="1" x14ac:dyDescent="0.2">
      <c r="A39" s="1" t="s">
        <v>34</v>
      </c>
      <c r="B39" s="1" t="s">
        <v>96</v>
      </c>
    </row>
    <row r="40" spans="1:2" ht="16" customHeight="1" x14ac:dyDescent="0.2">
      <c r="A40" s="1" t="s">
        <v>34</v>
      </c>
      <c r="B40" s="1" t="s">
        <v>97</v>
      </c>
    </row>
    <row r="41" spans="1:2" ht="16" customHeight="1" x14ac:dyDescent="0.2">
      <c r="A41" s="1" t="s">
        <v>34</v>
      </c>
      <c r="B41" s="1" t="s">
        <v>98</v>
      </c>
    </row>
    <row r="42" spans="1:2" ht="16" customHeight="1" x14ac:dyDescent="0.2">
      <c r="A42" s="1" t="s">
        <v>34</v>
      </c>
      <c r="B42" s="1" t="s">
        <v>99</v>
      </c>
    </row>
    <row r="43" spans="1:2" ht="16" customHeight="1" x14ac:dyDescent="0.2">
      <c r="A43" s="1" t="s">
        <v>34</v>
      </c>
      <c r="B43" s="1" t="s">
        <v>100</v>
      </c>
    </row>
    <row r="44" spans="1:2" ht="16" customHeight="1" x14ac:dyDescent="0.2">
      <c r="A44" s="1" t="s">
        <v>34</v>
      </c>
      <c r="B44" s="1" t="s">
        <v>101</v>
      </c>
    </row>
    <row r="45" spans="1:2" ht="16" customHeight="1" x14ac:dyDescent="0.2">
      <c r="A45" s="1" t="s">
        <v>34</v>
      </c>
      <c r="B45" s="1" t="s">
        <v>102</v>
      </c>
    </row>
    <row r="46" spans="1:2" ht="16" customHeight="1" x14ac:dyDescent="0.2">
      <c r="A46" s="1" t="s">
        <v>34</v>
      </c>
      <c r="B46" s="1" t="s">
        <v>103</v>
      </c>
    </row>
    <row r="47" spans="1:2" ht="16" customHeight="1" x14ac:dyDescent="0.2">
      <c r="A47" s="1" t="s">
        <v>34</v>
      </c>
      <c r="B47" s="1" t="s">
        <v>104</v>
      </c>
    </row>
    <row r="48" spans="1:2" ht="16" customHeight="1" x14ac:dyDescent="0.2">
      <c r="A48" s="1" t="s">
        <v>34</v>
      </c>
      <c r="B48" s="1" t="s">
        <v>105</v>
      </c>
    </row>
    <row r="49" spans="1:2" ht="16" customHeight="1" x14ac:dyDescent="0.2">
      <c r="A49" s="1" t="s">
        <v>34</v>
      </c>
      <c r="B49" s="1" t="s">
        <v>106</v>
      </c>
    </row>
    <row r="50" spans="1:2" ht="16" customHeight="1" x14ac:dyDescent="0.2">
      <c r="A50" s="1" t="s">
        <v>34</v>
      </c>
      <c r="B50" s="1" t="s">
        <v>107</v>
      </c>
    </row>
    <row r="51" spans="1:2" ht="16" customHeight="1" x14ac:dyDescent="0.2">
      <c r="A51" s="1" t="s">
        <v>34</v>
      </c>
      <c r="B51" s="1" t="s">
        <v>108</v>
      </c>
    </row>
    <row r="52" spans="1:2" ht="16" customHeight="1" x14ac:dyDescent="0.2">
      <c r="A52" s="1" t="s">
        <v>34</v>
      </c>
      <c r="B52" s="1" t="s">
        <v>109</v>
      </c>
    </row>
    <row r="53" spans="1:2" ht="16" customHeight="1" x14ac:dyDescent="0.2">
      <c r="A53" s="1" t="s">
        <v>34</v>
      </c>
      <c r="B53" s="1" t="s">
        <v>110</v>
      </c>
    </row>
    <row r="54" spans="1:2" ht="16" customHeight="1" x14ac:dyDescent="0.2">
      <c r="A54" s="1" t="s">
        <v>32</v>
      </c>
      <c r="B54" s="1" t="s">
        <v>111</v>
      </c>
    </row>
    <row r="55" spans="1:2" ht="16" customHeight="1" x14ac:dyDescent="0.2">
      <c r="A55" s="1" t="s">
        <v>32</v>
      </c>
      <c r="B55" s="1" t="s">
        <v>112</v>
      </c>
    </row>
    <row r="56" spans="1:2" ht="16" customHeight="1" x14ac:dyDescent="0.2">
      <c r="A56" s="1" t="s">
        <v>32</v>
      </c>
      <c r="B56" s="1" t="s">
        <v>113</v>
      </c>
    </row>
    <row r="57" spans="1:2" ht="16" customHeight="1" x14ac:dyDescent="0.2">
      <c r="A57" s="1" t="s">
        <v>32</v>
      </c>
      <c r="B57" s="1" t="s">
        <v>114</v>
      </c>
    </row>
    <row r="58" spans="1:2" ht="16" customHeight="1" x14ac:dyDescent="0.2">
      <c r="A58" s="1" t="s">
        <v>32</v>
      </c>
      <c r="B58" s="1" t="s">
        <v>115</v>
      </c>
    </row>
    <row r="59" spans="1:2" ht="16" customHeight="1" x14ac:dyDescent="0.2">
      <c r="A59" s="1" t="s">
        <v>32</v>
      </c>
      <c r="B59" s="1" t="s">
        <v>116</v>
      </c>
    </row>
    <row r="60" spans="1:2" ht="16" customHeight="1" x14ac:dyDescent="0.2">
      <c r="A60" s="1" t="s">
        <v>32</v>
      </c>
      <c r="B60" s="1" t="s">
        <v>117</v>
      </c>
    </row>
    <row r="61" spans="1:2" ht="16" customHeight="1" x14ac:dyDescent="0.2">
      <c r="A61" s="1" t="s">
        <v>32</v>
      </c>
      <c r="B61" s="1" t="s">
        <v>118</v>
      </c>
    </row>
    <row r="62" spans="1:2" ht="16" customHeight="1" x14ac:dyDescent="0.2">
      <c r="A62" s="1" t="s">
        <v>32</v>
      </c>
      <c r="B62" s="1" t="s">
        <v>119</v>
      </c>
    </row>
    <row r="63" spans="1:2" ht="16" customHeight="1" x14ac:dyDescent="0.2">
      <c r="A63" s="1" t="s">
        <v>32</v>
      </c>
      <c r="B63" s="1" t="s">
        <v>120</v>
      </c>
    </row>
    <row r="64" spans="1:2" ht="16" customHeight="1" x14ac:dyDescent="0.2">
      <c r="A64" s="1" t="s">
        <v>32</v>
      </c>
      <c r="B64" s="1" t="s">
        <v>121</v>
      </c>
    </row>
    <row r="65" spans="1:2" ht="16" customHeight="1" x14ac:dyDescent="0.2">
      <c r="A65" s="1" t="s">
        <v>32</v>
      </c>
      <c r="B65" s="1" t="s">
        <v>122</v>
      </c>
    </row>
    <row r="66" spans="1:2" ht="16" customHeight="1" x14ac:dyDescent="0.2">
      <c r="A66" s="1" t="s">
        <v>32</v>
      </c>
      <c r="B66" s="1" t="s">
        <v>123</v>
      </c>
    </row>
    <row r="67" spans="1:2" ht="16" customHeight="1" x14ac:dyDescent="0.2">
      <c r="A67" s="1" t="s">
        <v>32</v>
      </c>
      <c r="B67" s="1" t="s">
        <v>124</v>
      </c>
    </row>
    <row r="68" spans="1:2" ht="16" customHeight="1" x14ac:dyDescent="0.2">
      <c r="A68" s="1" t="s">
        <v>32</v>
      </c>
      <c r="B68" s="1" t="s">
        <v>125</v>
      </c>
    </row>
    <row r="69" spans="1:2" ht="16" customHeight="1" x14ac:dyDescent="0.2">
      <c r="A69" s="1" t="s">
        <v>32</v>
      </c>
      <c r="B69" s="1" t="s">
        <v>126</v>
      </c>
    </row>
    <row r="70" spans="1:2" ht="16" customHeight="1" x14ac:dyDescent="0.2">
      <c r="A70" s="1" t="s">
        <v>32</v>
      </c>
      <c r="B70" s="1" t="s">
        <v>127</v>
      </c>
    </row>
    <row r="71" spans="1:2" ht="16" customHeight="1" x14ac:dyDescent="0.2">
      <c r="A71" s="1" t="s">
        <v>32</v>
      </c>
      <c r="B71" s="1" t="s">
        <v>128</v>
      </c>
    </row>
    <row r="72" spans="1:2" ht="16" customHeight="1" x14ac:dyDescent="0.2">
      <c r="A72" s="1" t="s">
        <v>32</v>
      </c>
      <c r="B72" s="1" t="s">
        <v>129</v>
      </c>
    </row>
    <row r="73" spans="1:2" ht="16" customHeight="1" x14ac:dyDescent="0.2">
      <c r="A73" s="1" t="s">
        <v>32</v>
      </c>
      <c r="B73" s="1" t="s">
        <v>130</v>
      </c>
    </row>
    <row r="74" spans="1:2" ht="16" customHeight="1" x14ac:dyDescent="0.2">
      <c r="A74" s="1" t="s">
        <v>32</v>
      </c>
      <c r="B74" s="1" t="s">
        <v>131</v>
      </c>
    </row>
    <row r="75" spans="1:2" ht="16" customHeight="1" x14ac:dyDescent="0.2">
      <c r="A75" s="1" t="s">
        <v>32</v>
      </c>
      <c r="B75" s="1" t="s">
        <v>132</v>
      </c>
    </row>
    <row r="76" spans="1:2" ht="16" customHeight="1" x14ac:dyDescent="0.2">
      <c r="A76" s="1" t="s">
        <v>32</v>
      </c>
      <c r="B76" s="1" t="s">
        <v>133</v>
      </c>
    </row>
    <row r="77" spans="1:2" ht="16" customHeight="1" x14ac:dyDescent="0.2">
      <c r="A77" s="1" t="s">
        <v>32</v>
      </c>
      <c r="B77" s="1" t="s">
        <v>134</v>
      </c>
    </row>
    <row r="78" spans="1:2" ht="16" customHeight="1" x14ac:dyDescent="0.2">
      <c r="A78" s="1" t="s">
        <v>32</v>
      </c>
      <c r="B78" s="1" t="s">
        <v>135</v>
      </c>
    </row>
    <row r="79" spans="1:2" ht="16" customHeight="1" x14ac:dyDescent="0.2">
      <c r="A79" s="1" t="s">
        <v>32</v>
      </c>
      <c r="B79" s="1" t="s">
        <v>136</v>
      </c>
    </row>
    <row r="80" spans="1:2" ht="16" customHeight="1" x14ac:dyDescent="0.2">
      <c r="A80" s="1" t="s">
        <v>32</v>
      </c>
      <c r="B80" s="1" t="s">
        <v>137</v>
      </c>
    </row>
    <row r="81" spans="1:2" ht="16" customHeight="1" x14ac:dyDescent="0.2">
      <c r="A81" s="1" t="s">
        <v>32</v>
      </c>
      <c r="B81" s="1" t="s">
        <v>138</v>
      </c>
    </row>
    <row r="82" spans="1:2" ht="16" customHeight="1" x14ac:dyDescent="0.2">
      <c r="A82" s="1" t="s">
        <v>32</v>
      </c>
      <c r="B82" s="1" t="s">
        <v>139</v>
      </c>
    </row>
    <row r="83" spans="1:2" ht="16" customHeight="1" x14ac:dyDescent="0.2">
      <c r="A83" s="1" t="s">
        <v>32</v>
      </c>
      <c r="B83" s="1" t="s">
        <v>140</v>
      </c>
    </row>
    <row r="84" spans="1:2" ht="16" customHeight="1" x14ac:dyDescent="0.2">
      <c r="A84" s="1" t="s">
        <v>32</v>
      </c>
      <c r="B84" s="1" t="s">
        <v>141</v>
      </c>
    </row>
    <row r="85" spans="1:2" ht="16" customHeight="1" x14ac:dyDescent="0.2">
      <c r="A85" s="1" t="s">
        <v>32</v>
      </c>
      <c r="B85" s="1" t="s">
        <v>142</v>
      </c>
    </row>
    <row r="86" spans="1:2" ht="16" customHeight="1" x14ac:dyDescent="0.2">
      <c r="A86" s="1" t="s">
        <v>32</v>
      </c>
      <c r="B86" s="1" t="s">
        <v>143</v>
      </c>
    </row>
    <row r="87" spans="1:2" ht="16" customHeight="1" x14ac:dyDescent="0.2">
      <c r="A87" s="1" t="s">
        <v>32</v>
      </c>
      <c r="B87" s="1" t="s">
        <v>144</v>
      </c>
    </row>
    <row r="88" spans="1:2" ht="16" customHeight="1" x14ac:dyDescent="0.2">
      <c r="A88" s="1" t="s">
        <v>32</v>
      </c>
      <c r="B88" s="1" t="s">
        <v>145</v>
      </c>
    </row>
    <row r="89" spans="1:2" ht="16" customHeight="1" x14ac:dyDescent="0.2">
      <c r="A89" s="1" t="s">
        <v>42</v>
      </c>
      <c r="B89" s="1" t="s">
        <v>146</v>
      </c>
    </row>
    <row r="90" spans="1:2" ht="16" customHeight="1" x14ac:dyDescent="0.2">
      <c r="A90" s="1" t="s">
        <v>42</v>
      </c>
      <c r="B90" s="1" t="s">
        <v>147</v>
      </c>
    </row>
    <row r="91" spans="1:2" ht="16" customHeight="1" x14ac:dyDescent="0.2">
      <c r="A91" s="1" t="s">
        <v>42</v>
      </c>
      <c r="B91" s="1" t="s">
        <v>148</v>
      </c>
    </row>
    <row r="92" spans="1:2" ht="16" customHeight="1" x14ac:dyDescent="0.2">
      <c r="A92" s="1" t="s">
        <v>36</v>
      </c>
      <c r="B92" s="1" t="s">
        <v>149</v>
      </c>
    </row>
    <row r="93" spans="1:2" ht="16" customHeight="1" x14ac:dyDescent="0.2">
      <c r="A93" s="1" t="s">
        <v>36</v>
      </c>
      <c r="B93" s="1" t="s">
        <v>150</v>
      </c>
    </row>
    <row r="94" spans="1:2" ht="16" customHeight="1" x14ac:dyDescent="0.2">
      <c r="A94" s="1" t="s">
        <v>36</v>
      </c>
      <c r="B94" s="1" t="s">
        <v>151</v>
      </c>
    </row>
    <row r="95" spans="1:2" ht="16" customHeight="1" x14ac:dyDescent="0.2">
      <c r="A95" s="1" t="s">
        <v>36</v>
      </c>
      <c r="B95" s="1" t="s">
        <v>152</v>
      </c>
    </row>
    <row r="96" spans="1:2" ht="16" customHeight="1" x14ac:dyDescent="0.2">
      <c r="A96" s="1" t="s">
        <v>36</v>
      </c>
      <c r="B96" s="1" t="s">
        <v>153</v>
      </c>
    </row>
    <row r="97" spans="1:2" ht="16" customHeight="1" x14ac:dyDescent="0.2">
      <c r="A97" s="1" t="s">
        <v>36</v>
      </c>
      <c r="B97" s="1" t="s">
        <v>154</v>
      </c>
    </row>
    <row r="98" spans="1:2" ht="16" customHeight="1" x14ac:dyDescent="0.2">
      <c r="A98" s="1" t="s">
        <v>36</v>
      </c>
      <c r="B98" s="1" t="s">
        <v>155</v>
      </c>
    </row>
    <row r="99" spans="1:2" ht="16" customHeight="1" x14ac:dyDescent="0.2">
      <c r="A99" s="1" t="s">
        <v>36</v>
      </c>
      <c r="B99" s="1" t="s">
        <v>156</v>
      </c>
    </row>
    <row r="100" spans="1:2" ht="16" customHeight="1" x14ac:dyDescent="0.2">
      <c r="A100" s="1" t="s">
        <v>36</v>
      </c>
      <c r="B100" s="1" t="s">
        <v>157</v>
      </c>
    </row>
    <row r="101" spans="1:2" ht="16" customHeight="1" x14ac:dyDescent="0.2">
      <c r="A101" s="1" t="s">
        <v>36</v>
      </c>
      <c r="B101" s="1" t="s">
        <v>158</v>
      </c>
    </row>
    <row r="102" spans="1:2" ht="16" customHeight="1" x14ac:dyDescent="0.2">
      <c r="A102" s="1" t="s">
        <v>36</v>
      </c>
      <c r="B102" s="1" t="s">
        <v>159</v>
      </c>
    </row>
    <row r="103" spans="1:2" ht="16" customHeight="1" x14ac:dyDescent="0.2">
      <c r="A103" s="1" t="s">
        <v>36</v>
      </c>
      <c r="B103" s="1" t="s">
        <v>160</v>
      </c>
    </row>
    <row r="104" spans="1:2" ht="16" customHeight="1" x14ac:dyDescent="0.2">
      <c r="A104" s="1" t="s">
        <v>36</v>
      </c>
      <c r="B104" s="1" t="s">
        <v>161</v>
      </c>
    </row>
    <row r="105" spans="1:2" ht="16" customHeight="1" x14ac:dyDescent="0.2">
      <c r="A105" s="1" t="s">
        <v>35</v>
      </c>
      <c r="B105" s="1" t="s">
        <v>162</v>
      </c>
    </row>
    <row r="106" spans="1:2" ht="16" customHeight="1" x14ac:dyDescent="0.2">
      <c r="A106" s="1" t="s">
        <v>35</v>
      </c>
      <c r="B106" s="1" t="s">
        <v>163</v>
      </c>
    </row>
    <row r="107" spans="1:2" ht="16" customHeight="1" x14ac:dyDescent="0.2">
      <c r="A107" s="1" t="s">
        <v>35</v>
      </c>
      <c r="B107" s="1" t="s">
        <v>164</v>
      </c>
    </row>
    <row r="108" spans="1:2" ht="16" customHeight="1" x14ac:dyDescent="0.2">
      <c r="A108" s="1" t="s">
        <v>35</v>
      </c>
      <c r="B108" s="1" t="s">
        <v>165</v>
      </c>
    </row>
    <row r="109" spans="1:2" ht="16" customHeight="1" x14ac:dyDescent="0.2">
      <c r="A109" s="1" t="s">
        <v>35</v>
      </c>
      <c r="B109" s="1" t="s">
        <v>166</v>
      </c>
    </row>
    <row r="110" spans="1:2" ht="16" customHeight="1" x14ac:dyDescent="0.2">
      <c r="A110" s="1" t="s">
        <v>35</v>
      </c>
      <c r="B110" s="1" t="s">
        <v>167</v>
      </c>
    </row>
    <row r="111" spans="1:2" ht="16" customHeight="1" x14ac:dyDescent="0.2">
      <c r="A111" s="1" t="s">
        <v>35</v>
      </c>
      <c r="B111" s="1" t="s">
        <v>168</v>
      </c>
    </row>
    <row r="112" spans="1:2" ht="16" customHeight="1" x14ac:dyDescent="0.2">
      <c r="A112" s="1" t="s">
        <v>35</v>
      </c>
      <c r="B112" s="1" t="s">
        <v>169</v>
      </c>
    </row>
    <row r="113" spans="1:2" ht="16" customHeight="1" x14ac:dyDescent="0.2">
      <c r="A113" s="1" t="s">
        <v>35</v>
      </c>
      <c r="B113" s="1" t="s">
        <v>170</v>
      </c>
    </row>
    <row r="114" spans="1:2" ht="16" customHeight="1" x14ac:dyDescent="0.2">
      <c r="A114" s="1" t="s">
        <v>35</v>
      </c>
      <c r="B114" s="1" t="s">
        <v>171</v>
      </c>
    </row>
    <row r="115" spans="1:2" ht="16" customHeight="1" x14ac:dyDescent="0.2">
      <c r="A115" s="1" t="s">
        <v>35</v>
      </c>
      <c r="B115" s="1" t="s">
        <v>172</v>
      </c>
    </row>
    <row r="116" spans="1:2" ht="16" customHeight="1" x14ac:dyDescent="0.2">
      <c r="A116" s="1" t="s">
        <v>35</v>
      </c>
      <c r="B116" s="1" t="s">
        <v>173</v>
      </c>
    </row>
    <row r="117" spans="1:2" ht="16" customHeight="1" x14ac:dyDescent="0.2">
      <c r="A117" s="1" t="s">
        <v>35</v>
      </c>
      <c r="B117" s="1" t="s">
        <v>174</v>
      </c>
    </row>
    <row r="118" spans="1:2" ht="16" customHeight="1" x14ac:dyDescent="0.2">
      <c r="A118" s="1" t="s">
        <v>35</v>
      </c>
      <c r="B118" s="1" t="s">
        <v>175</v>
      </c>
    </row>
    <row r="119" spans="1:2" ht="16" customHeight="1" x14ac:dyDescent="0.2">
      <c r="A119" s="1" t="s">
        <v>37</v>
      </c>
      <c r="B119" s="1" t="s">
        <v>176</v>
      </c>
    </row>
    <row r="120" spans="1:2" ht="16" customHeight="1" x14ac:dyDescent="0.2">
      <c r="A120" s="1" t="s">
        <v>37</v>
      </c>
      <c r="B120" s="1" t="s">
        <v>177</v>
      </c>
    </row>
    <row r="121" spans="1:2" ht="16" customHeight="1" x14ac:dyDescent="0.2">
      <c r="A121" s="1" t="s">
        <v>37</v>
      </c>
      <c r="B121" s="1" t="s">
        <v>178</v>
      </c>
    </row>
    <row r="122" spans="1:2" ht="16" customHeight="1" x14ac:dyDescent="0.2">
      <c r="A122" s="1" t="s">
        <v>37</v>
      </c>
      <c r="B122" s="1" t="s">
        <v>179</v>
      </c>
    </row>
    <row r="123" spans="1:2" ht="16" customHeight="1" x14ac:dyDescent="0.2">
      <c r="A123" s="1" t="s">
        <v>37</v>
      </c>
      <c r="B123" s="1" t="s">
        <v>180</v>
      </c>
    </row>
    <row r="124" spans="1:2" ht="16" customHeight="1" x14ac:dyDescent="0.2">
      <c r="A124" s="1" t="s">
        <v>37</v>
      </c>
      <c r="B124" s="1" t="s">
        <v>181</v>
      </c>
    </row>
    <row r="125" spans="1:2" ht="16" customHeight="1" x14ac:dyDescent="0.2">
      <c r="A125" s="1" t="s">
        <v>37</v>
      </c>
      <c r="B125" s="1" t="s">
        <v>182</v>
      </c>
    </row>
    <row r="126" spans="1:2" ht="16" customHeight="1" x14ac:dyDescent="0.2">
      <c r="A126" s="1" t="s">
        <v>37</v>
      </c>
      <c r="B126" s="1" t="s">
        <v>183</v>
      </c>
    </row>
    <row r="127" spans="1:2" ht="16" customHeight="1" x14ac:dyDescent="0.2">
      <c r="A127" s="1" t="s">
        <v>37</v>
      </c>
      <c r="B127" s="1" t="s">
        <v>184</v>
      </c>
    </row>
    <row r="128" spans="1:2" ht="16" customHeight="1" x14ac:dyDescent="0.2">
      <c r="A128" s="1" t="s">
        <v>37</v>
      </c>
      <c r="B128" s="1" t="s">
        <v>185</v>
      </c>
    </row>
    <row r="129" spans="1:2" ht="16" customHeight="1" x14ac:dyDescent="0.2">
      <c r="A129" s="1" t="s">
        <v>37</v>
      </c>
      <c r="B129" s="1" t="s">
        <v>186</v>
      </c>
    </row>
    <row r="130" spans="1:2" ht="16" customHeight="1" x14ac:dyDescent="0.2">
      <c r="A130" s="1" t="s">
        <v>30</v>
      </c>
      <c r="B130" s="1" t="s">
        <v>187</v>
      </c>
    </row>
    <row r="131" spans="1:2" ht="16" customHeight="1" x14ac:dyDescent="0.2">
      <c r="A131" s="1" t="s">
        <v>30</v>
      </c>
      <c r="B131" s="1" t="s">
        <v>188</v>
      </c>
    </row>
    <row r="132" spans="1:2" ht="16" customHeight="1" x14ac:dyDescent="0.2">
      <c r="A132" s="1" t="s">
        <v>30</v>
      </c>
      <c r="B132" s="1" t="s">
        <v>189</v>
      </c>
    </row>
    <row r="133" spans="1:2" ht="16" customHeight="1" x14ac:dyDescent="0.2">
      <c r="A133" s="1" t="s">
        <v>30</v>
      </c>
      <c r="B133" s="1" t="s">
        <v>190</v>
      </c>
    </row>
    <row r="134" spans="1:2" ht="16" customHeight="1" x14ac:dyDescent="0.2">
      <c r="A134" s="1" t="s">
        <v>30</v>
      </c>
      <c r="B134" s="1" t="s">
        <v>191</v>
      </c>
    </row>
    <row r="135" spans="1:2" ht="16" customHeight="1" x14ac:dyDescent="0.2">
      <c r="A135" s="1" t="s">
        <v>30</v>
      </c>
      <c r="B135" s="1" t="s">
        <v>192</v>
      </c>
    </row>
    <row r="136" spans="1:2" ht="16" customHeight="1" x14ac:dyDescent="0.2">
      <c r="A136" s="1" t="s">
        <v>30</v>
      </c>
      <c r="B136" s="1" t="s">
        <v>193</v>
      </c>
    </row>
    <row r="137" spans="1:2" ht="16" customHeight="1" x14ac:dyDescent="0.2">
      <c r="A137" s="1" t="s">
        <v>30</v>
      </c>
      <c r="B137" s="1" t="s">
        <v>194</v>
      </c>
    </row>
    <row r="138" spans="1:2" ht="16" customHeight="1" x14ac:dyDescent="0.2">
      <c r="A138" s="1" t="s">
        <v>30</v>
      </c>
      <c r="B138" s="1" t="s">
        <v>195</v>
      </c>
    </row>
    <row r="139" spans="1:2" ht="16" customHeight="1" x14ac:dyDescent="0.2">
      <c r="A139" s="1" t="s">
        <v>30</v>
      </c>
      <c r="B139" s="1" t="s">
        <v>196</v>
      </c>
    </row>
    <row r="140" spans="1:2" ht="16" customHeight="1" x14ac:dyDescent="0.2">
      <c r="A140" s="1" t="s">
        <v>30</v>
      </c>
      <c r="B140" s="1" t="s">
        <v>197</v>
      </c>
    </row>
    <row r="141" spans="1:2" ht="16" customHeight="1" x14ac:dyDescent="0.2">
      <c r="A141" s="1" t="s">
        <v>30</v>
      </c>
      <c r="B141" s="1" t="s">
        <v>198</v>
      </c>
    </row>
    <row r="142" spans="1:2" ht="16" customHeight="1" x14ac:dyDescent="0.2">
      <c r="A142" s="1" t="s">
        <v>30</v>
      </c>
      <c r="B142" s="1" t="s">
        <v>199</v>
      </c>
    </row>
    <row r="143" spans="1:2" ht="16" customHeight="1" x14ac:dyDescent="0.2">
      <c r="A143" s="1" t="s">
        <v>30</v>
      </c>
      <c r="B143" s="1" t="s">
        <v>200</v>
      </c>
    </row>
    <row r="144" spans="1:2" ht="16" customHeight="1" x14ac:dyDescent="0.2">
      <c r="A144" s="1" t="s">
        <v>30</v>
      </c>
      <c r="B144" s="1" t="s">
        <v>201</v>
      </c>
    </row>
    <row r="145" spans="1:2" ht="16" customHeight="1" x14ac:dyDescent="0.2">
      <c r="A145" s="1" t="s">
        <v>30</v>
      </c>
      <c r="B145" s="1" t="s">
        <v>202</v>
      </c>
    </row>
    <row r="146" spans="1:2" ht="16" customHeight="1" x14ac:dyDescent="0.2">
      <c r="A146" s="1" t="s">
        <v>30</v>
      </c>
      <c r="B146" s="1" t="s">
        <v>203</v>
      </c>
    </row>
    <row r="147" spans="1:2" ht="16" customHeight="1" x14ac:dyDescent="0.2">
      <c r="A147" s="1" t="s">
        <v>30</v>
      </c>
      <c r="B147" s="1" t="s">
        <v>204</v>
      </c>
    </row>
    <row r="148" spans="1:2" ht="16" customHeight="1" x14ac:dyDescent="0.2">
      <c r="A148" s="1" t="s">
        <v>30</v>
      </c>
      <c r="B148" s="1" t="s">
        <v>205</v>
      </c>
    </row>
    <row r="149" spans="1:2" ht="16" customHeight="1" x14ac:dyDescent="0.2">
      <c r="A149" s="1" t="s">
        <v>30</v>
      </c>
      <c r="B149" s="1" t="s">
        <v>206</v>
      </c>
    </row>
    <row r="150" spans="1:2" ht="16" customHeight="1" x14ac:dyDescent="0.2">
      <c r="A150" s="1" t="s">
        <v>30</v>
      </c>
      <c r="B150" s="1" t="s">
        <v>207</v>
      </c>
    </row>
    <row r="151" spans="1:2" ht="16" customHeight="1" x14ac:dyDescent="0.2">
      <c r="A151" s="1" t="s">
        <v>30</v>
      </c>
      <c r="B151" s="1" t="s">
        <v>208</v>
      </c>
    </row>
    <row r="152" spans="1:2" ht="16" customHeight="1" x14ac:dyDescent="0.2">
      <c r="A152" s="1" t="s">
        <v>30</v>
      </c>
      <c r="B152" s="1" t="s">
        <v>209</v>
      </c>
    </row>
    <row r="153" spans="1:2" ht="16" customHeight="1" x14ac:dyDescent="0.2">
      <c r="A153" s="1" t="s">
        <v>30</v>
      </c>
      <c r="B153" s="1" t="s">
        <v>210</v>
      </c>
    </row>
    <row r="154" spans="1:2" ht="16" customHeight="1" x14ac:dyDescent="0.2">
      <c r="A154" s="1" t="s">
        <v>30</v>
      </c>
      <c r="B154" s="1" t="s">
        <v>211</v>
      </c>
    </row>
    <row r="155" spans="1:2" ht="16" customHeight="1" x14ac:dyDescent="0.2">
      <c r="A155" s="1" t="s">
        <v>30</v>
      </c>
      <c r="B155" s="1" t="s">
        <v>212</v>
      </c>
    </row>
    <row r="156" spans="1:2" ht="16" customHeight="1" x14ac:dyDescent="0.2">
      <c r="A156" s="1" t="s">
        <v>30</v>
      </c>
      <c r="B156" s="1" t="s">
        <v>213</v>
      </c>
    </row>
    <row r="157" spans="1:2" ht="16" customHeight="1" x14ac:dyDescent="0.2">
      <c r="A157" s="1" t="s">
        <v>30</v>
      </c>
      <c r="B157" s="1" t="s">
        <v>214</v>
      </c>
    </row>
    <row r="158" spans="1:2" ht="16" customHeight="1" x14ac:dyDescent="0.2">
      <c r="A158" s="1" t="s">
        <v>30</v>
      </c>
      <c r="B158" s="1" t="s">
        <v>215</v>
      </c>
    </row>
    <row r="159" spans="1:2" ht="16" customHeight="1" x14ac:dyDescent="0.2">
      <c r="A159" s="1" t="s">
        <v>30</v>
      </c>
      <c r="B159" s="1" t="s">
        <v>216</v>
      </c>
    </row>
    <row r="160" spans="1:2" ht="16" customHeight="1" x14ac:dyDescent="0.2">
      <c r="A160" s="1" t="s">
        <v>30</v>
      </c>
      <c r="B160" s="1" t="s">
        <v>217</v>
      </c>
    </row>
    <row r="161" spans="1:2" ht="16" customHeight="1" x14ac:dyDescent="0.2">
      <c r="A161" s="1" t="s">
        <v>30</v>
      </c>
      <c r="B161" s="1" t="s">
        <v>218</v>
      </c>
    </row>
    <row r="162" spans="1:2" ht="16" customHeight="1" x14ac:dyDescent="0.2">
      <c r="A162" s="1" t="s">
        <v>30</v>
      </c>
      <c r="B162" s="1" t="s">
        <v>219</v>
      </c>
    </row>
    <row r="163" spans="1:2" ht="16" customHeight="1" x14ac:dyDescent="0.2">
      <c r="A163" s="1" t="s">
        <v>30</v>
      </c>
      <c r="B163" s="1" t="s">
        <v>220</v>
      </c>
    </row>
    <row r="164" spans="1:2" ht="16" customHeight="1" x14ac:dyDescent="0.2">
      <c r="A164" s="1" t="s">
        <v>30</v>
      </c>
      <c r="B164" s="1" t="s">
        <v>221</v>
      </c>
    </row>
    <row r="165" spans="1:2" ht="16" customHeight="1" x14ac:dyDescent="0.2">
      <c r="A165" s="1" t="s">
        <v>30</v>
      </c>
      <c r="B165" s="1" t="s">
        <v>222</v>
      </c>
    </row>
    <row r="166" spans="1:2" ht="16" customHeight="1" x14ac:dyDescent="0.2">
      <c r="A166" s="1" t="s">
        <v>30</v>
      </c>
      <c r="B166" s="1" t="s">
        <v>223</v>
      </c>
    </row>
    <row r="167" spans="1:2" ht="16" customHeight="1" x14ac:dyDescent="0.2">
      <c r="A167" s="1" t="s">
        <v>30</v>
      </c>
      <c r="B167" s="1" t="s">
        <v>224</v>
      </c>
    </row>
    <row r="168" spans="1:2" ht="16" customHeight="1" x14ac:dyDescent="0.2">
      <c r="A168" s="1" t="s">
        <v>30</v>
      </c>
      <c r="B168" s="1" t="s">
        <v>225</v>
      </c>
    </row>
    <row r="169" spans="1:2" ht="16" customHeight="1" x14ac:dyDescent="0.2">
      <c r="A169" s="1" t="s">
        <v>30</v>
      </c>
      <c r="B169" s="1" t="s">
        <v>226</v>
      </c>
    </row>
  </sheetData>
  <autoFilter ref="A1:B16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Controls</vt:lpstr>
      <vt:lpstr>Country_Zones</vt:lpstr>
      <vt:lpstr>City_Zones</vt:lpstr>
      <vt:lpstr>Lane_Plan</vt:lpstr>
      <vt:lpstr>Destination_Hubs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Bebb</cp:lastModifiedBy>
  <dcterms:created xsi:type="dcterms:W3CDTF">2026-03-10T14:40:35Z</dcterms:created>
  <dcterms:modified xsi:type="dcterms:W3CDTF">2026-03-10T15:11:36Z</dcterms:modified>
</cp:coreProperties>
</file>